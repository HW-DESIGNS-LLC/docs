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tions" sheetId="2" state="visible" r:id="rId4"/>
    <sheet name="DVT_Master" sheetId="3" state="visible" r:id="rId5"/>
    <sheet name="Issue_Log" sheetId="4" state="visible" r:id="rId6"/>
    <sheet name="Reference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<sst xmlns="http://schemas.openxmlformats.org/spreadsheetml/2006/main" count="748" uniqueCount="465">
  <si>
    <t xml:space="preserve">Hardware DVT Execution Dashboard</t>
  </si>
  <si>
    <t xml:space="preserve">nRF5340 BLE Development Board (MDBT53-1M + RP2040 probe)</t>
  </si>
  <si>
    <t xml:space="preserve">Board / Session</t>
  </si>
  <si>
    <t xml:space="preserve">(fill in — yellow)</t>
  </si>
  <si>
    <t xml:space="preserve">Overall</t>
  </si>
  <si>
    <t xml:space="preserve">Revision</t>
  </si>
  <si>
    <t xml:space="preserve">Rev B</t>
  </si>
  <si>
    <t xml:space="preserve">Total tests</t>
  </si>
  <si>
    <t xml:space="preserve">Board S/N (FICR ID)</t>
  </si>
  <si>
    <t xml:space="preserve">Executed (P+F)</t>
  </si>
  <si>
    <t xml:space="preserve">Tester</t>
  </si>
  <si>
    <t xml:space="preserve">Pass rate</t>
  </si>
  <si>
    <t xml:space="preserve">Date started</t>
  </si>
  <si>
    <t xml:space="preserve">Completion</t>
  </si>
  <si>
    <t xml:space="preserve">Firmware version</t>
  </si>
  <si>
    <t xml:space="preserve">DVT-Helper 1.0</t>
  </si>
  <si>
    <t xml:space="preserve">Subsystem</t>
  </si>
  <si>
    <t xml:space="preserve">Tests</t>
  </si>
  <si>
    <t xml:space="preserve">Pass</t>
  </si>
  <si>
    <t xml:space="preserve">Fail</t>
  </si>
  <si>
    <t xml:space="preserve">Blocked</t>
  </si>
  <si>
    <t xml:space="preserve">Not Run</t>
  </si>
  <si>
    <t xml:space="preserve">Done %</t>
  </si>
  <si>
    <t xml:space="preserve">Status</t>
  </si>
  <si>
    <t xml:space="preserve">Count</t>
  </si>
  <si>
    <t xml:space="preserve">VIS</t>
  </si>
  <si>
    <t xml:space="preserve">PRE</t>
  </si>
  <si>
    <t xml:space="preserve">PWR</t>
  </si>
  <si>
    <t xml:space="preserve">In Progress</t>
  </si>
  <si>
    <t xml:space="preserve">CHG</t>
  </si>
  <si>
    <t xml:space="preserve">BAT</t>
  </si>
  <si>
    <t xml:space="preserve">DBG</t>
  </si>
  <si>
    <t xml:space="preserve">NRF</t>
  </si>
  <si>
    <t xml:space="preserve">GPIO</t>
  </si>
  <si>
    <t xml:space="preserve">I2C</t>
  </si>
  <si>
    <t xml:space="preserve">IMEAS</t>
  </si>
  <si>
    <t xml:space="preserve">RF</t>
  </si>
  <si>
    <t xml:space="preserve">SYS</t>
  </si>
  <si>
    <t xml:space="preserve">Board disposition</t>
  </si>
  <si>
    <t xml:space="preserve">Sign-off / date</t>
  </si>
  <si>
    <t xml:space="preserve">DVT Tracker — How to Use (and reuse for future revisions)</t>
  </si>
  <si>
    <t xml:space="preserve">Workflow per board</t>
  </si>
  <si>
    <t xml:space="preserve">1.  Fill the yellow cells on Dashboard (Revision, Board S/N = FICR Device ID from NRF-02, Tester, Date, FW version).</t>
  </si>
  <si>
    <t xml:space="preserve">2.  Work top-to-bottom on DVT_Master. VIS and PRE are gates: any failure there = do not apply power.</t>
  </si>
  <si>
    <t xml:space="preserve">3.  Numeric checks: type the measured number into "Actual Result" using the unit shown. "Tolerance Check" fills Pass/Fail automatically from Min/Max.  Example: 3V3 check, Min 3.2 / Max 3.4 — type 3.31 and Tolerance Check shows Pass.</t>
  </si>
  <si>
    <t xml:space="preserve">4.  Text/visual checks (no Min/Max): set "Manual Status" directly.</t>
  </si>
  <si>
    <t xml:space="preserve">5.  "Final Status" = Manual Status if you set one, otherwise the automatic Tolerance Check. Setting Manual Status always wins (use it to override).</t>
  </si>
  <si>
    <t xml:space="preserve">6.  DMM shows OL?  Type OL into Actual Result: text sorts above any number, so it passes min-only checks (e.g. &gt; 1 MOhm) and correctly fails max-limited ones.</t>
  </si>
  <si>
    <t xml:space="preserve">7.  Log every failure in Issue_Log with the Test ID; set board disposition on the Dashboard when done.</t>
  </si>
  <si>
    <t xml:space="preserve">Cloning for the next board / revision</t>
  </si>
  <si>
    <t xml:space="preserve">•  Next board, same rev: Save As, update the Dashboard yellow cells, set Manual Status column to "Not Run", clear Actual Result and Notes. Tolerance/Final recompute.</t>
  </si>
  <si>
    <t xml:space="preserve">•  Next PCB revision: same, plus adjust Min/Max to the new plan. Limits here come from DVT_Plan_nRF5340_Board_RevB.docx v2.0 (2026-07-22); the Plan Ref column maps every row to the plan.</t>
  </si>
  <si>
    <t xml:space="preserve">•  Adding a test: insert a row inside its subsystem block, fill Subsystem + Description + limits, then copy the Test ID / Tolerance Check / Final Status formula cells from a neighbour.</t>
  </si>
  <si>
    <t xml:space="preserve">Do not</t>
  </si>
  <si>
    <t xml:space="preserve">•  Rename sheets or header rows (Dashboard formulas point at them).</t>
  </si>
  <si>
    <t xml:space="preserve">•  Type over the formula columns: Test ID, Tolerance Check, Final Status (grey headers).</t>
  </si>
  <si>
    <t xml:space="preserve">•  Insert rows above row 5 on DVT_Master.</t>
  </si>
  <si>
    <t xml:space="preserve">Ensure all VIS and PRE checks pass before applying power. Numeric result + Min/Max -&gt; automatic verdict; Manual Status overrides.</t>
  </si>
  <si>
    <t xml:space="preserve">Test Num</t>
  </si>
  <si>
    <t xml:space="preserve">Test ID</t>
  </si>
  <si>
    <t xml:space="preserve">Plan Ref</t>
  </si>
  <si>
    <t xml:space="preserve">Description / Procedure</t>
  </si>
  <si>
    <t xml:space="preserve">Expected Outcome (Text)</t>
  </si>
  <si>
    <t xml:space="preserve">Target Value</t>
  </si>
  <si>
    <t xml:space="preserve">Min Allowed</t>
  </si>
  <si>
    <t xml:space="preserve">Max Allowed</t>
  </si>
  <si>
    <t xml:space="preserve">Unit</t>
  </si>
  <si>
    <t xml:space="preserve">Actual Result</t>
  </si>
  <si>
    <t xml:space="preserve">Tolerance Check</t>
  </si>
  <si>
    <t xml:space="preserve">Manual Status</t>
  </si>
  <si>
    <t xml:space="preserve">Final Status</t>
  </si>
  <si>
    <t xml:space="preserve">Notes</t>
  </si>
  <si>
    <t xml:space="preserve">VIS-01</t>
  </si>
  <si>
    <t xml:space="preserve">Overall reflow quality under magnification: tombstones, missing 0402s, bridges (hot-plate build — check paste-starved corners first)</t>
  </si>
  <si>
    <t xml:space="preserve">None found</t>
  </si>
  <si>
    <t xml:space="preserve">VIS-02</t>
  </si>
  <si>
    <t xml:space="preserve">D2, D3 (B5819WS) polarity: cathode line toward V_SYS on both (D2 cathode = pad toward U6; D3 cathode = pad toward board interior)</t>
  </si>
  <si>
    <t xml:space="preserve">Both correct</t>
  </si>
  <si>
    <t xml:space="preserve">VIS-03</t>
  </si>
  <si>
    <t xml:space="preserve">Pin-1 / orientation vs silk: U1, U2, U3, U4, U5, U6, U7, U8, Q1, Q2, Q3</t>
  </si>
  <si>
    <t xml:space="preserve">All correct</t>
  </si>
  <si>
    <t xml:space="preserve">VIS-04</t>
  </si>
  <si>
    <t xml:space="preserve">U14 MDBT53-1M: aligned, castellations wetted, antenna end (left board edge) clean — no solder, flux, labels or debris in the keepout</t>
  </si>
  <si>
    <t xml:space="preserve">Clean</t>
  </si>
  <si>
    <t xml:space="preserve">VIS-05</t>
  </si>
  <si>
    <t xml:space="preserve">Fine-pitch: U2 LQFN-56 0.4 mm, U4 WSON-8, U1 MSOP-10 — no bridges, fillets visible at pad edges</t>
  </si>
  <si>
    <t xml:space="preserve">VIS-06</t>
  </si>
  <si>
    <t xml:space="preserve">USB-C J1 (hand-soldered after reflow): 12 signal pins wetted, no bridges, shell legs filled</t>
  </si>
  <si>
    <t xml:space="preserve">VIS-07</t>
  </si>
  <si>
    <t xml:space="preserve">Through-hole H1/H2/J2/J5/SW1 seated flat, joints filled (H1/H2/J2 are kitted separately — not on the BOM)</t>
  </si>
  <si>
    <t xml:space="preserve">Seated, filled</t>
  </si>
  <si>
    <t xml:space="preserve">VIS-08</t>
  </si>
  <si>
    <t xml:space="preserve">SW2/SW3/SW4 click mechanically; SW1 slides with a detent in both positions</t>
  </si>
  <si>
    <t xml:space="preserve">All OK</t>
  </si>
  <si>
    <t xml:space="preserve">VIS-09</t>
  </si>
  <si>
    <t xml:space="preserve">C49/C50 (NFC tuning, bottom) NOT populated — DNI by design; the schematic '100 nF' value is a placeholder</t>
  </si>
  <si>
    <t xml:space="preserve">Both empty</t>
  </si>
  <si>
    <t xml:space="preserve">VIS-10</t>
  </si>
  <si>
    <t xml:space="preserve">Silkscreen legible; FCC/ISED 'Contains' module marking present? (known Rev B gap — record the result)</t>
  </si>
  <si>
    <t xml:space="preserve">Record</t>
  </si>
  <si>
    <t xml:space="preserve">VIS-11</t>
  </si>
  <si>
    <t xml:space="preserve">Breadboard fit: H1/H2 rows seat across a standard breadboard on 2.54 mm centers</t>
  </si>
  <si>
    <t xml:space="preserve">Seats cleanly</t>
  </si>
  <si>
    <t xml:space="preserve">PRE-01</t>
  </si>
  <si>
    <t xml:space="preserve">Identify &amp; mark pin 1s by continuity: J2 pin nearer U7.5 = LDO side (J2.1); H1.1 = +5V end (to F1); H2.1 = 3V3 end (to U6.5)</t>
  </si>
  <si>
    <t xml:space="preserve">Mapped + marked</t>
  </si>
  <si>
    <t xml:space="preserve">PRE-02</t>
  </si>
  <si>
    <t xml:space="preserve">V_USB to GND resistance (probe C2 + pad)</t>
  </si>
  <si>
    <t xml:space="preserve">~10 kOhm (R7), not &lt; 1 k</t>
  </si>
  <si>
    <t xml:space="preserve">Ohm</t>
  </si>
  <si>
    <t xml:space="preserve">PRE-03</t>
  </si>
  <si>
    <t xml:space="preserve">V_SYS to GND (probe D2.1 cathode pad)</t>
  </si>
  <si>
    <t xml:space="preserve">High / climbing</t>
  </si>
  <si>
    <t xml:space="preserve">PRE-04</t>
  </si>
  <si>
    <t xml:space="preserve">3V3_OTHER to GND (probe H2.1)</t>
  </si>
  <si>
    <t xml:space="preserve">&gt; 5 kOhm and climbing</t>
  </si>
  <si>
    <t xml:space="preserve">PRE-05</t>
  </si>
  <si>
    <t xml:space="preserve">3V3_NRF to GND (probe J2.2 side)</t>
  </si>
  <si>
    <t xml:space="preserve">PRE-06</t>
  </si>
  <si>
    <t xml:space="preserve">J2.1 to J2.2 with jumper REMOVED — the measured rail must only connect through J2</t>
  </si>
  <si>
    <t xml:space="preserve">Open / &gt; 1 MOhm</t>
  </si>
  <si>
    <t xml:space="preserve">PRE-07</t>
  </si>
  <si>
    <t xml:space="preserve">Diode mode V_USB to V_SYS (red D3.2, black D3.1): B5819WS forward</t>
  </si>
  <si>
    <t xml:space="preserve">0.15-0.45 V</t>
  </si>
  <si>
    <t xml:space="preserve">V</t>
  </si>
  <si>
    <t xml:space="preserve">PRE-08</t>
  </si>
  <si>
    <t xml:space="preserve">Diode mode +5V input path (red H1.1, black D2.1): F1 + D2 forward</t>
  </si>
  <si>
    <t xml:space="preserve">0.15-0.50 V</t>
  </si>
  <si>
    <t xml:space="preserve">PRE-09</t>
  </si>
  <si>
    <t xml:space="preserve">Reverse diode checks: red D2.1, black H1.1 = OL; red D3.1, black D3.2 = OL</t>
  </si>
  <si>
    <t xml:space="preserve">OL both</t>
  </si>
  <si>
    <t xml:space="preserve">PRE-10</t>
  </si>
  <si>
    <t xml:space="preserve">USB D+ to D- (D1 pads) and VBUS to D+/D-: no shorts</t>
  </si>
  <si>
    <t xml:space="preserve">OL / &gt; 1 MOhm</t>
  </si>
  <si>
    <t xml:space="preserve">PRE-11</t>
  </si>
  <si>
    <t xml:space="preserve">Battery pins J5.1 to J5.2: no short; J5.2 (BATT-) to GND: not 0 Ohm (protection FETs unbiased)</t>
  </si>
  <si>
    <t xml:space="preserve">No short</t>
  </si>
  <si>
    <t xml:space="preserve">PRE-12</t>
  </si>
  <si>
    <t xml:space="preserve">SWDIO (J4.2) and SWCLK (J4.4) to GND: no short. REST (H1.19) to GND: no short; ~0 Ohm only while SW4 held</t>
  </si>
  <si>
    <t xml:space="preserve">OK</t>
  </si>
  <si>
    <t xml:space="preserve">PRE-13</t>
  </si>
  <si>
    <t xml:space="preserve">TP3 to GND continuity ~0 Ohm (confirms map TP1=NFC1, TP2=NFC2, TP3=GND); TP1/TP2 NOT shorted to GND</t>
  </si>
  <si>
    <t xml:space="preserve">Confirmed</t>
  </si>
  <si>
    <t xml:space="preserve">PWR-01</t>
  </si>
  <si>
    <t xml:space="preserve">First power: bench PSU 5.00 V, 100 mA CC limit, + to H1.1, - to H1.2 (GND). Supply current after 5 s</t>
  </si>
  <si>
    <t xml:space="preserve">Stable, no CC trip</t>
  </si>
  <si>
    <t xml:space="preserve">mA</t>
  </si>
  <si>
    <t xml:space="preserve">PWR-02</t>
  </si>
  <si>
    <t xml:space="preserve">Nothing hot after 60 s at first power (finger/IR: U6, U7, U2, U14)</t>
  </si>
  <si>
    <t xml:space="preserve">Cool / barely warm</t>
  </si>
  <si>
    <t xml:space="preserve">PWR-03</t>
  </si>
  <si>
    <t xml:space="preserve">V_SYS (D2.1) = PSU minus F1 + D2 drop</t>
  </si>
  <si>
    <t xml:space="preserve">4.3-4.9 V</t>
  </si>
  <si>
    <t xml:space="preserve">PWR-04</t>
  </si>
  <si>
    <t xml:space="preserve">3V3_OTHER at H2.1</t>
  </si>
  <si>
    <t xml:space="preserve">3.20-3.40 V</t>
  </si>
  <si>
    <t xml:space="preserve">PWR-05</t>
  </si>
  <si>
    <t xml:space="preserve">3V3_NRF at J2.2 (jumper fitted)</t>
  </si>
  <si>
    <t xml:space="preserve">PWR-06</t>
  </si>
  <si>
    <t xml:space="preserve">J2 jumper contact drop: V(J2.1) - V(J2.2)</t>
  </si>
  <si>
    <t xml:space="preserve">&lt;= 5 mV</t>
  </si>
  <si>
    <t xml:space="preserve">mV</t>
  </si>
  <si>
    <t xml:space="preserve">PWR-07</t>
  </si>
  <si>
    <t xml:space="preserve">Remove PSU. First USB power through inline USB meter, SW1 = DEBUG: V_USB</t>
  </si>
  <si>
    <t xml:space="preserve">4.75-5.25 V</t>
  </si>
  <si>
    <t xml:space="preserve">PWR-08</t>
  </si>
  <si>
    <t xml:space="preserve">USB idle input current (blank chips: RP2040 in BOOTSEL ROM, nRF blank)</t>
  </si>
  <si>
    <t xml:space="preserve">PWR-09</t>
  </si>
  <si>
    <t xml:space="preserve">RPI-RP2 mass-storage device enumerates (blank U3 -&gt; ROM bootloader; also proves X1 12 MHz and the FSUSB42 DEBUG path)</t>
  </si>
  <si>
    <t xml:space="preserve">Enumerates</t>
  </si>
  <si>
    <t xml:space="preserve">PWR-10</t>
  </si>
  <si>
    <t xml:space="preserve">SW1 to APP: RPI-RP2 disappears (bus routed to blank nRF, no device). Back to DEBUG: reappears</t>
  </si>
  <si>
    <t xml:space="preserve">Behaves</t>
  </si>
  <si>
    <t xml:space="preserve">PWR-11</t>
  </si>
  <si>
    <t xml:space="preserve">LED2 (green) on whenever V_SYS is present, off when unpowered</t>
  </si>
  <si>
    <t xml:space="preserve">Correct</t>
  </si>
  <si>
    <t xml:space="preserve">PWR-12</t>
  </si>
  <si>
    <t xml:space="preserve">Backdrive: USB powered, voltage at H1.1 (+5V pin) — D2 blocks; the pin is input-only</t>
  </si>
  <si>
    <t xml:space="preserve">~0 V</t>
  </si>
  <si>
    <t xml:space="preserve">PWR-13</t>
  </si>
  <si>
    <t xml:space="preserve">Ripple (scope, optional): 3V3_OTHER and 3V3_NRF at idle</t>
  </si>
  <si>
    <t xml:space="preserve">&lt; 30 mVpp, record</t>
  </si>
  <si>
    <t xml:space="preserve">mVpp</t>
  </si>
  <si>
    <t xml:space="preserve">PWR-14</t>
  </si>
  <si>
    <t xml:space="preserve">Brownout: PSU into H1.1, ramp 5.0 -&gt; 3.6 -&gt; 5.0 V slowly: rails sag and recover cleanly, no latch-up, RP2040 re-enumerates</t>
  </si>
  <si>
    <t xml:space="preserve">Clean recovery</t>
  </si>
  <si>
    <t xml:space="preserve">CHG-01</t>
  </si>
  <si>
    <t xml:space="preserve">LED1 (yellow) on while charging, off / hi-Z at termination</t>
  </si>
  <si>
    <t xml:space="preserve">CHG-02</t>
  </si>
  <si>
    <t xml:space="preserve">Charge current into a cell at ~3.7 V (PROG R5 = 5.1 k -&gt; ~196 mA). Series meter in battery lead, or USB-meter delta</t>
  </si>
  <si>
    <t xml:space="preserve">150-215 mA</t>
  </si>
  <si>
    <t xml:space="preserve">CHG-03</t>
  </si>
  <si>
    <t xml:space="preserve">Termination voltage: BATT+ (C12 + pad) as charge completes</t>
  </si>
  <si>
    <t xml:space="preserve">4.15-4.25 V</t>
  </si>
  <si>
    <t xml:space="preserve">CHG-04</t>
  </si>
  <si>
    <t xml:space="preserve">U5 temperature during full-rate charge</t>
  </si>
  <si>
    <t xml:space="preserve">Warm, not untouchable</t>
  </si>
  <si>
    <t xml:space="preserve">degC</t>
  </si>
  <si>
    <t xml:space="preserve">CHG-05</t>
  </si>
  <si>
    <t xml:space="preserve">No-battery behavior: LED1 may flicker / cycle (MCP73831 no-load hiccup) — normal, document it</t>
  </si>
  <si>
    <t xml:space="preserve">Documented</t>
  </si>
  <si>
    <t xml:space="preserve">CHG-06</t>
  </si>
  <si>
    <t xml:space="preserve">Recharge: run the board on battery briefly, replug USB: charge cycle restarts (LED1 on)</t>
  </si>
  <si>
    <t xml:space="preserve">Restarts</t>
  </si>
  <si>
    <t xml:space="preserve">BAT-01</t>
  </si>
  <si>
    <t xml:space="preserve">REVERSE battery test with bench PSU reversed at J5, 50 mA CC — BEFORE ever fitting a real cell. Current flow</t>
  </si>
  <si>
    <t xml:space="preserve">Q3 blocks; board dead, no heat</t>
  </si>
  <si>
    <t xml:space="preserve">BAT-02</t>
  </si>
  <si>
    <t xml:space="preserve">Correct polarity, battery only (USB out): board runs. Drop V_BAT - V_SYS (Q1 enhanced)</t>
  </si>
  <si>
    <t xml:space="preserve">&lt;= 60 mV</t>
  </si>
  <si>
    <t xml:space="preserve">BAT-03</t>
  </si>
  <si>
    <t xml:space="preserve">Q3 drop under load: V(C12 BATT+) - V(J5.1) while running on battery</t>
  </si>
  <si>
    <t xml:space="preserve">&lt;= 30 mV</t>
  </si>
  <si>
    <t xml:space="preserve">BAT-04</t>
  </si>
  <si>
    <t xml:space="preserve">Switchover battery -&gt; USB: plug USB while running; RP2040 CDC does not drop, no reset (scope V_SYS dip optional — record)</t>
  </si>
  <si>
    <t xml:space="preserve">No reset</t>
  </si>
  <si>
    <t xml:space="preserve">BAT-05</t>
  </si>
  <si>
    <t xml:space="preserve">Switchover USB -&gt; battery: unplug USB; keeps running</t>
  </si>
  <si>
    <t xml:space="preserve">BAT-06</t>
  </si>
  <si>
    <t xml:space="preserve">DW01A under-voltage cutoff: PSU as battery, step down 0.1 V: load disconnects at; recovers when raised above ~3.0 V</t>
  </si>
  <si>
    <t xml:space="preserve">2.30-2.55 V</t>
  </si>
  <si>
    <t xml:space="preserve">DBG-01</t>
  </si>
  <si>
    <t xml:space="preserve">Flash probe firmware: SW1=DEBUG; RPI-RP2 drive present (blank flash) or hold SW2 + tap SW3; copy debugprobe_on_pico.uf2 (release &gt;= 2.2)</t>
  </si>
  <si>
    <t xml:space="preserve">UF2 accepted, reboots</t>
  </si>
  <si>
    <t xml:space="preserve">DBG-02</t>
  </si>
  <si>
    <t xml:space="preserve">Re-enumeration: CMSIS-DAP (VID:PID 2E8A:000C, 'Debugprobe on Pico') plus a CDC serial port</t>
  </si>
  <si>
    <t xml:space="preserve">Both interfaces</t>
  </si>
  <si>
    <t xml:space="preserve">DBG-03</t>
  </si>
  <si>
    <t xml:space="preserve">LED3 (yellow) behaves per debugprobe firmware (activity at connect / traffic)</t>
  </si>
  <si>
    <t xml:space="preserve">DBG-04</t>
  </si>
  <si>
    <t xml:space="preserve">probe-rs list (or pyocd list) shows the probe</t>
  </si>
  <si>
    <t xml:space="preserve">Listed</t>
  </si>
  <si>
    <t xml:space="preserve">DBG-05</t>
  </si>
  <si>
    <t xml:space="preserve">First SWD connect: virgin modules ship APPROTECT-locked. Run probe-rs erase --chip nRF5340_xxAA --allow-erase-all once (CTRL-AP ERASEALL); then connect reads core IDs</t>
  </si>
  <si>
    <t xml:space="preserve">Unlock + connect OK</t>
  </si>
  <si>
    <t xml:space="preserve">DBG-06</t>
  </si>
  <si>
    <t xml:space="preserve">Flash DVT_Helper app core (probe-rs download merged.hex, or west flash --runner pyocd): banner prints</t>
  </si>
  <si>
    <t xml:space="preserve">Flashed, banner</t>
  </si>
  <si>
    <t xml:space="preserve">DBG-07</t>
  </si>
  <si>
    <t xml:space="preserve">UART bridge: shell responds on the probe CDC at 115200 (proves R35/R36 crossover on RP2040 GPIO4/5)</t>
  </si>
  <si>
    <t xml:space="preserve">Shell works</t>
  </si>
  <si>
    <t xml:space="preserve">DBG-08</t>
  </si>
  <si>
    <t xml:space="preserve">SW4 resets the nRF only (banner reprints, CDC stays). SW3 resets the RP2040 only (CDC re-enumerates, nRF untouched)</t>
  </si>
  <si>
    <t xml:space="preserve">Independent resets</t>
  </si>
  <si>
    <t xml:space="preserve">DBG-09</t>
  </si>
  <si>
    <t xml:space="preserve">SW2 + SW3 returns the RP2040 to BOOTSEL (field UF2 update path); reflash UF2</t>
  </si>
  <si>
    <t xml:space="preserve">RPI-RP2 back</t>
  </si>
  <si>
    <t xml:space="preserve">DBG-10</t>
  </si>
  <si>
    <t xml:space="preserve">Tag-Connect J4 continuity: J4.1=3V3_NRF, J4.2=U14.4 SWDIO, J4.3=REST, J4.4=U14.2 SWCLK, J4.5=GND. If a TC2030-CTX-NL + external probe is on hand: external session works with the RP2040 idle</t>
  </si>
  <si>
    <t xml:space="preserve">Verified</t>
  </si>
  <si>
    <t xml:space="preserve">NRF-01</t>
  </si>
  <si>
    <t xml:space="preserve">Build DVT_Helper: NCS &gt;= 2.9, west build -b nrf5340dk/nrf5340/cpuapp --sysbuild. Only deviation from stock DK: LFXO internal 6 pF (in prj.conf)</t>
  </si>
  <si>
    <t xml:space="preserve">Builds clean</t>
  </si>
  <si>
    <t xml:space="preserve">NRF-02</t>
  </si>
  <si>
    <t xml:space="preserve">dvt info: FICR Device ID prints — record as board S/N on the Dashboard; reset reason sane</t>
  </si>
  <si>
    <t xml:space="preserve">S/N recorded</t>
  </si>
  <si>
    <t xml:space="preserve">NRF-03</t>
  </si>
  <si>
    <t xml:space="preserve">dvt clk: LFCLK source = XTAL (X2 running on internal 6 pF caps)</t>
  </si>
  <si>
    <t xml:space="preserve">XTAL</t>
  </si>
  <si>
    <t xml:space="preserve">NRF-04</t>
  </si>
  <si>
    <t xml:space="preserve">dvt clk cal: LFXO frequency error vs HFXO</t>
  </si>
  <si>
    <t xml:space="preserve">|ppm| &lt;= 150 (target +/-50)</t>
  </si>
  <si>
    <t xml:space="preserve">ppm</t>
  </si>
  <si>
    <t xml:space="preserve">NRF-05</t>
  </si>
  <si>
    <t xml:space="preserve">dvt qspi id: MX25R6435F ready — driver verifies JEDEC C2 28 17 at init; flash is on 3V3_NRF</t>
  </si>
  <si>
    <t xml:space="preserve">Ready / PASS</t>
  </si>
  <si>
    <t xml:space="preserve">NRF-06</t>
  </si>
  <si>
    <t xml:space="preserve">dvt qspi test: erase / write / verify last 4 K sector</t>
  </si>
  <si>
    <t xml:space="preserve">PASS</t>
  </si>
  <si>
    <t xml:space="preserve">NRF-07</t>
  </si>
  <si>
    <t xml:space="preserve">dvt usb with SW1=APP: nRF native CDC enumerates (FSUSB42 APP path + R28/C48 VBUS sense). SW1 back to DEBUG after</t>
  </si>
  <si>
    <t xml:space="preserve">NRF-08</t>
  </si>
  <si>
    <t xml:space="preserve">Console also visible at H1.15 (NRF_TXD) with a 3.3 V USB-UART adapter, RX only — do not drive H1.14 against the probe</t>
  </si>
  <si>
    <t xml:space="preserve">Output seen</t>
  </si>
  <si>
    <t xml:space="preserve">NRF-09</t>
  </si>
  <si>
    <t xml:space="preserve">Clean boot: debug session closed, SW4 tap: banner in &lt; 1 s</t>
  </si>
  <si>
    <t xml:space="preserve">Clean boot</t>
  </si>
  <si>
    <t xml:space="preserve">GPIO-01</t>
  </si>
  <si>
    <t xml:space="preserve">dvt gpio walk: each header GPIO drives high in turn; DMM the announced pin, spot-check neighbours (~0 V). Use 'walk all' + RTT to include the UART/I2C pins, reset after</t>
  </si>
  <si>
    <t xml:space="preserve">3.2-3.4 V driven</t>
  </si>
  <si>
    <t xml:space="preserve">GPIO-02</t>
  </si>
  <si>
    <t xml:space="preserve">dvt gpio in: all 1s at rest (pull-ups); each pin reads 0 when jumpered to GND</t>
  </si>
  <si>
    <t xml:space="preserve">GPIO-03</t>
  </si>
  <si>
    <t xml:space="preserve">dvt gpio pattern: adjacent-bridge auto test on all physically adjacent signal pairs</t>
  </si>
  <si>
    <t xml:space="preserve">PASS all pairs</t>
  </si>
  <si>
    <t xml:space="preserve">GPIO-04</t>
  </si>
  <si>
    <t xml:space="preserve">dvt adc with 2.000 V fed through ~10 k to each AINx in turn (PSU + DMM). Reading at 2.000 V</t>
  </si>
  <si>
    <t xml:space="preserve">1940-2060 mV</t>
  </si>
  <si>
    <t xml:space="preserve">GPIO-05</t>
  </si>
  <si>
    <t xml:space="preserve">Header power pins: +5V at H1.1 (~0 V on USB, input-only), 3V3_OTHER at H2.1, every GND pin 0 Ohm to GND</t>
  </si>
  <si>
    <t xml:space="preserve">I2C-01</t>
  </si>
  <si>
    <t xml:space="preserve">Idle levels ~3.3 V on CN1.3 (SDA) / CN1.4 (SCL) — requires R40/R41 4.7 k fitted (BOM gap: hand-kit them first!)</t>
  </si>
  <si>
    <t xml:space="preserve">3.2-3.4 V</t>
  </si>
  <si>
    <t xml:space="preserve">I2C-02</t>
  </si>
  <si>
    <t xml:space="preserve">dvt i2c scan with a Qwiic SHT4x attached: 0x44 found at 100 kHz</t>
  </si>
  <si>
    <t xml:space="preserve">Found 0x44</t>
  </si>
  <si>
    <t xml:space="preserve">I2C-03</t>
  </si>
  <si>
    <t xml:space="preserve">dvt i2c sht4x: plausible T / RH, CRC OK at 100 kHz</t>
  </si>
  <si>
    <t xml:space="preserve">CRC OK</t>
  </si>
  <si>
    <t xml:space="preserve">I2C-04</t>
  </si>
  <si>
    <t xml:space="preserve">dvt i2c scan fast + dvt i2c sht4x fast: same results at 400 kHz</t>
  </si>
  <si>
    <t xml:space="preserve">OK at 400 kHz</t>
  </si>
  <si>
    <t xml:space="preserve">I2C-05</t>
  </si>
  <si>
    <t xml:space="preserve">Rail split proof: remove the J2 jumper — 3V3_NRF dies but the Qwiic device stays powered. V(CN1.2)</t>
  </si>
  <si>
    <t xml:space="preserve">3.20-3.40 V (CN1.2 = 3V3_OTHER)</t>
  </si>
  <si>
    <t xml:space="preserve">IMEAS-01</t>
  </si>
  <si>
    <t xml:space="preserve">Meter burden sanity: meter on mA range in J2, shell idle: V(J2.2) sag vs jumpered</t>
  </si>
  <si>
    <t xml:space="preserve">&lt;= 50 mV</t>
  </si>
  <si>
    <t xml:space="preserve">IMEAS-02</t>
  </si>
  <si>
    <t xml:space="preserve">Baseline: shell idle (UART active) current on J2</t>
  </si>
  <si>
    <t xml:space="preserve">IMEAS-03</t>
  </si>
  <si>
    <t xml:space="preserve">dvt cpu: 30 s busy-loop current</t>
  </si>
  <si>
    <t xml:space="preserve">IMEAS-04</t>
  </si>
  <si>
    <t xml:space="preserve">dvt sleep idle (console suspended, QSPI in DPD, debugger DETACHED): System ON idle floor</t>
  </si>
  <si>
    <t xml:space="preserve">&lt;= 25 uA provisional (goal &lt;= 10)</t>
  </si>
  <si>
    <t xml:space="preserve">uA</t>
  </si>
  <si>
    <t xml:space="preserve">IMEAS-05</t>
  </si>
  <si>
    <t xml:space="preserve">dvt sleep off: System OFF floor (wake = SW4)</t>
  </si>
  <si>
    <t xml:space="preserve">&lt;= 10 uA provisional (goal &lt;= 3)</t>
  </si>
  <si>
    <t xml:space="preserve">IMEAS-06</t>
  </si>
  <si>
    <t xml:space="preserve">dvt qspi dpd on/off from the idle state: delta visible on the meter (MX25R64 standby vs DPD)</t>
  </si>
  <si>
    <t xml:space="preserve">Delta recorded</t>
  </si>
  <si>
    <t xml:space="preserve">IMEAS-07</t>
  </si>
  <si>
    <t xml:space="preserve">dvt ble adv 0, default interval: average current (PPK2 / averaging meter)</t>
  </si>
  <si>
    <t xml:space="preserve">IMEAS-08</t>
  </si>
  <si>
    <t xml:space="preserve">Debugger influence: repeat the idle measurement with a pyocd/probe-rs session attached — current rises. Rule: always measure detached</t>
  </si>
  <si>
    <t xml:space="preserve">IMEAS-09</t>
  </si>
  <si>
    <t xml:space="preserve">Isolation proof: J2 open — RP2040 CDC alive, LED2 on, Qwiic device powered, while V(3V3_NRF)</t>
  </si>
  <si>
    <t xml:space="preserve">&lt;= 0.10 V</t>
  </si>
  <si>
    <t xml:space="preserve">RF-01</t>
  </si>
  <si>
    <t xml:space="preserve">Net core flashed (merged_CPUNET.hex); dvt ble adv: advertising starts</t>
  </si>
  <si>
    <t xml:space="preserve">Starts</t>
  </si>
  <si>
    <t xml:space="preserve">RF-02</t>
  </si>
  <si>
    <t xml:space="preserve">nRF Connect (phone): found as 'nRF5340-DVT'; RSSI at 1 m, phone facing the antenna edge</t>
  </si>
  <si>
    <t xml:space="preserve">dBm</t>
  </si>
  <si>
    <t xml:space="preserve">RF-03</t>
  </si>
  <si>
    <t xml:space="preserve">RSSI delta vs reference board (nRF5340-DK ideal), same spot, 4 orientations</t>
  </si>
  <si>
    <t xml:space="preserve">Within +/- 6 dB</t>
  </si>
  <si>
    <t xml:space="preserve">dB</t>
  </si>
  <si>
    <t xml:space="preserve">RF-04</t>
  </si>
  <si>
    <t xml:space="preserve">Connect from the phone: GATT device name reads; link holds 2 min</t>
  </si>
  <si>
    <t xml:space="preserve">Holds</t>
  </si>
  <si>
    <t xml:space="preserve">RF-05</t>
  </si>
  <si>
    <t xml:space="preserve">dvt ble adv 3: RSSI rises vs 0 dBm</t>
  </si>
  <si>
    <t xml:space="preserve">+1.5 to +4 dB</t>
  </si>
  <si>
    <t xml:space="preserve">RF-06</t>
  </si>
  <si>
    <t xml:space="preserve">Detune sanity: hand over the module drops RSSI, recovers on release (antenna genuinely radiating)</t>
  </si>
  <si>
    <t xml:space="preserve">RF-07</t>
  </si>
  <si>
    <t xml:space="preserve">Coex soak 5 min: adv + CDC streaming + repeated dvt qspi test: no resets, RSSI stable</t>
  </si>
  <si>
    <t xml:space="preserve">Stable</t>
  </si>
  <si>
    <t xml:space="preserve">SYS-01</t>
  </si>
  <si>
    <t xml:space="preserve">dvt demo soak 30 min (SHT4x poll + BLE adv): no reset / watchdog, uptime monotonic</t>
  </si>
  <si>
    <t xml:space="preserve">Clean 30 min</t>
  </si>
  <si>
    <t xml:space="preserve">SYS-02</t>
  </si>
  <si>
    <t xml:space="preserve">Power-cycle x10 (USB replug): banner every time</t>
  </si>
  <si>
    <t xml:space="preserve">10 / 10</t>
  </si>
  <si>
    <t xml:space="preserve">SYS-03</t>
  </si>
  <si>
    <t xml:space="preserve">Battery-only demo 10 min, with a USB plug/unplug mid-run: no reset</t>
  </si>
  <si>
    <t xml:space="preserve">SYS-04</t>
  </si>
  <si>
    <t xml:space="preserve">Thermal after 30 min active + charging: warmest of U5 / U6 / U7 / U2</t>
  </si>
  <si>
    <t xml:space="preserve">SYS-05</t>
  </si>
  <si>
    <t xml:space="preserve">Post-soak mechanical: SW1..SW4 exercised x20 each, still correct</t>
  </si>
  <si>
    <t xml:space="preserve">SYS-06</t>
  </si>
  <si>
    <t xml:space="preserve">Archive: photos, tracker filled, issues logged, disposition + sign-off</t>
  </si>
  <si>
    <t xml:space="preserve">Complete</t>
  </si>
  <si>
    <t xml:space="preserve">Issue Log</t>
  </si>
  <si>
    <t xml:space="preserve">#</t>
  </si>
  <si>
    <t xml:space="preserve">Description of failure</t>
  </si>
  <si>
    <t xml:space="preserve">Severity</t>
  </si>
  <si>
    <t xml:space="preserve">Found (date)</t>
  </si>
  <si>
    <t xml:space="preserve">Disposition / fix</t>
  </si>
  <si>
    <t xml:space="preserve">PRE-000</t>
  </si>
  <si>
    <t xml:space="preserve">(example row — replace) R40/R41 confirmed absent from assembly kit</t>
  </si>
  <si>
    <t xml:space="preserve">Major</t>
  </si>
  <si>
    <t xml:space="preserve">2026-07</t>
  </si>
  <si>
    <t xml:space="preserve">Hand-fit 2x 4.7 k 0402 before I2C section</t>
  </si>
  <si>
    <t xml:space="preserve">Example</t>
  </si>
  <si>
    <t xml:space="preserve">Probe Point Quick Reference (top view, origin = board lower-left; all mm)</t>
  </si>
  <si>
    <t xml:space="preserve">Net</t>
  </si>
  <si>
    <t xml:space="preserve">Probe at</t>
  </si>
  <si>
    <t xml:space="preserve">Side</t>
  </si>
  <si>
    <t xml:space="preserve">GND</t>
  </si>
  <si>
    <t xml:space="preserve">Any header GND / J1 shell</t>
  </si>
  <si>
    <t xml:space="preserve">Top</t>
  </si>
  <si>
    <t xml:space="preserve">H1.2/8/12/16, H2.2/8/13/19; TP3 (15.9, 5.4)</t>
  </si>
  <si>
    <t xml:space="preserve">V_USB</t>
  </si>
  <si>
    <t xml:space="preserve">C2 + pad</t>
  </si>
  <si>
    <t xml:space="preserve">50.9, 9.3 (10 uF); also F1.1 side, LED1.2 (64.2, 16.6)</t>
  </si>
  <si>
    <t xml:space="preserve">V_SYS</t>
  </si>
  <si>
    <t xml:space="preserve">D2 cathode (D2.1)</t>
  </si>
  <si>
    <t xml:space="preserve">47.5, 6.3; also D3.1 (55.3, 12.0), U6/U7 pin 1</t>
  </si>
  <si>
    <t xml:space="preserve">3V3_OTHER</t>
  </si>
  <si>
    <t xml:space="preserve">H2.1 header pin</t>
  </si>
  <si>
    <t xml:space="preserve">28.1 row, y=24.1, 3V3 end; also C3.2, U6.5</t>
  </si>
  <si>
    <t xml:space="preserve">3V3_NRF</t>
  </si>
  <si>
    <t xml:space="preserve">J2.2 (rail side)</t>
  </si>
  <si>
    <t xml:space="preserve">J2 at 45.1, 21.5 — pin nearer U7 = LDO side J2.1 (PRE-01)</t>
  </si>
  <si>
    <t xml:space="preserve">LDO out (pre-J2)</t>
  </si>
  <si>
    <t xml:space="preserve">C11 + pad</t>
  </si>
  <si>
    <t xml:space="preserve">45.8, 19.0 (1 uF on U7 output = J2.1 net)</t>
  </si>
  <si>
    <t xml:space="preserve">BATT+</t>
  </si>
  <si>
    <t xml:space="preserve">C12 + pad</t>
  </si>
  <si>
    <t xml:space="preserve">50.1, 21.9 (47 uF bulk)</t>
  </si>
  <si>
    <t xml:space="preserve">BATT-</t>
  </si>
  <si>
    <t xml:space="preserve">J5.2 / C13</t>
  </si>
  <si>
    <t xml:space="preserve">J5 at 57.9, 21.6; C13 at 61.2, 16.4 (cell negative, not GND)</t>
  </si>
  <si>
    <t xml:space="preserve">+5V in</t>
  </si>
  <si>
    <t xml:space="preserve">H1.1</t>
  </si>
  <si>
    <t xml:space="preserve">+5V end of H1 (y=1.3), before F1 (50.9, 4.9)</t>
  </si>
  <si>
    <t xml:space="preserve">USB D+ / D-</t>
  </si>
  <si>
    <t xml:space="preserve">D1 pads</t>
  </si>
  <si>
    <t xml:space="preserve">54.5, 5.4 (USBLC6); connector-side pair</t>
  </si>
  <si>
    <t xml:space="preserve">Charger STAT</t>
  </si>
  <si>
    <t xml:space="preserve">U5 pin 1 / R6</t>
  </si>
  <si>
    <t xml:space="preserve">U5 at 52.9, 16.8</t>
  </si>
  <si>
    <t xml:space="preserve">Charger PROG</t>
  </si>
  <si>
    <t xml:space="preserve">U5 pin 5 / R5</t>
  </si>
  <si>
    <t xml:space="preserve">1.0 V during charge</t>
  </si>
  <si>
    <t xml:space="preserve">SWD</t>
  </si>
  <si>
    <t xml:space="preserve">J4 TC2030 pads</t>
  </si>
  <si>
    <t xml:space="preserve">20.9, 11.5 — 1:3V3_NRF 2:SWDIO 3:REST 4:SWCLK 5:GND</t>
  </si>
  <si>
    <t xml:space="preserve">SDA / SCL</t>
  </si>
  <si>
    <t xml:space="preserve">CN1.3 / CN1.4</t>
  </si>
  <si>
    <t xml:space="preserve">CN1 at 22.4, 5.2; pull-ups R40/R41 on BOTTOM (22.1/20.8, 4.3)</t>
  </si>
  <si>
    <t xml:space="preserve">NFC1 / NFC2</t>
  </si>
  <si>
    <t xml:space="preserve">TP1 / TP2</t>
  </si>
  <si>
    <t xml:space="preserve">15.9, 10.4 / 7.9 (C49/C50 DNI)</t>
  </si>
  <si>
    <t xml:space="preserve">nRF reset</t>
  </si>
  <si>
    <t xml:space="preserve">H1.19 / SW4</t>
  </si>
  <si>
    <t xml:space="preserve">SW4 at 8.6, 21.2</t>
  </si>
  <si>
    <t xml:space="preserve">Header Pinout (as built, fab 2026-07-04; pin 1 = +5V end on H1, 3V3 end on H2)</t>
  </si>
  <si>
    <t xml:space="preserve">Pin</t>
  </si>
  <si>
    <t xml:space="preserve">H1 (bottom edge, y=1.3)</t>
  </si>
  <si>
    <t xml:space="preserve">H2 (top edge, y=24.1)</t>
  </si>
  <si>
    <t xml:space="preserve">+5V (input only, via F1+D2)</t>
  </si>
  <si>
    <t xml:space="preserve">3V3 (3V3_OTHER)</t>
  </si>
  <si>
    <t xml:space="preserve">P0.29</t>
  </si>
  <si>
    <t xml:space="preserve">P0.11</t>
  </si>
  <si>
    <t xml:space="preserve">P0.07 / AIN3</t>
  </si>
  <si>
    <t xml:space="preserve">P0.12</t>
  </si>
  <si>
    <t xml:space="preserve">P0.25 / AIN4</t>
  </si>
  <si>
    <t xml:space="preserve">P0.05 / AIN1</t>
  </si>
  <si>
    <t xml:space="preserve">P0.26 / AIN5</t>
  </si>
  <si>
    <t xml:space="preserve">P0.06 / AIN2</t>
  </si>
  <si>
    <t xml:space="preserve">P0.27 / AIN6</t>
  </si>
  <si>
    <t xml:space="preserve">P0.04 / AIN0</t>
  </si>
  <si>
    <t xml:space="preserve">P0.10</t>
  </si>
  <si>
    <t xml:space="preserve">P1.00</t>
  </si>
  <si>
    <t xml:space="preserve">P0.09</t>
  </si>
  <si>
    <t xml:space="preserve">P1.15</t>
  </si>
  <si>
    <t xml:space="preserve">P0.08</t>
  </si>
  <si>
    <t xml:space="preserve">P1.14</t>
  </si>
  <si>
    <t xml:space="preserve">P1.12</t>
  </si>
  <si>
    <t xml:space="preserve">P1.01</t>
  </si>
  <si>
    <t xml:space="preserve">P0.22 (nRF UART RX)</t>
  </si>
  <si>
    <t xml:space="preserve">P0.31</t>
  </si>
  <si>
    <t xml:space="preserve">P0.20 (nRF UART TX)</t>
  </si>
  <si>
    <t xml:space="preserve">P0.28 / AIN7</t>
  </si>
  <si>
    <t xml:space="preserve">P1.11</t>
  </si>
  <si>
    <t xml:space="preserve">P1.03 (SCL)</t>
  </si>
  <si>
    <t xml:space="preserve">P0.30</t>
  </si>
  <si>
    <t xml:space="preserve">P1.02 (SDA)</t>
  </si>
  <si>
    <t xml:space="preserve">P1.10</t>
  </si>
  <si>
    <t xml:space="preserve">REST (nRF reset)</t>
  </si>
  <si>
    <t xml:space="preserve">UART nets are nRF-perspective: the probe (RP2040 GPIO4) drives P0.22/RX; nRF transmits on P0.20/TX = H1.15. External adapter: RX-&gt;H1.15 observe-only; do not drive H1.14 against the probe.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</si>
</sst>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A3F5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A3F54"/>
      <name val="Arial"/>
      <family val="0"/>
      <charset val="1"/>
    </font>
    <font>
      <b val="true"/>
      <sz val="12"/>
      <color rgb="FF2A3F5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2A3F5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DDDDDD"/>
        <bgColor rgb="FFC6EFCE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F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9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E5" s="3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  <c r="E6" s="5" t="s">
        <v>7</v>
      </c>
      <c r="F6" s="7" t="n">
        <f aca="false">COUNTA(DVT_Master!$A$5:$A$202)</f>
        <v>101</v>
      </c>
    </row>
    <row r="7" customFormat="false" ht="15" hidden="false" customHeight="false" outlineLevel="0" collapsed="false">
      <c r="B7" s="5" t="s">
        <v>8</v>
      </c>
      <c r="C7" s="6"/>
      <c r="E7" s="5" t="s">
        <v>9</v>
      </c>
      <c r="F7" s="7" t="n">
        <f aca="false">C14+C15</f>
        <v>0</v>
      </c>
    </row>
    <row r="8" customFormat="false" ht="15" hidden="false" customHeight="false" outlineLevel="0" collapsed="false">
      <c r="B8" s="5" t="s">
        <v>10</v>
      </c>
      <c r="C8" s="6"/>
      <c r="E8" s="5" t="s">
        <v>11</v>
      </c>
      <c r="F8" s="8" t="str">
        <f aca="false">IF(F7=0,"",C14/F7)</f>
        <v/>
      </c>
    </row>
    <row r="9" customFormat="false" ht="15" hidden="false" customHeight="false" outlineLevel="0" collapsed="false">
      <c r="B9" s="5" t="s">
        <v>12</v>
      </c>
      <c r="C9" s="6"/>
      <c r="E9" s="5" t="s">
        <v>13</v>
      </c>
      <c r="F9" s="8" t="n">
        <f aca="false">IF(F6=0,"",F7/F6)</f>
        <v>0</v>
      </c>
    </row>
    <row r="10" customFormat="false" ht="15" hidden="false" customHeight="false" outlineLevel="0" collapsed="false">
      <c r="B10" s="5" t="s">
        <v>14</v>
      </c>
      <c r="C10" s="6" t="s">
        <v>15</v>
      </c>
    </row>
    <row r="12" customFormat="false" ht="15" hidden="false" customHeight="false" outlineLevel="0" collapsed="false"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</row>
    <row r="13" customFormat="false" ht="15" hidden="false" customHeight="false" outlineLevel="0" collapsed="false">
      <c r="B13" s="9" t="s">
        <v>23</v>
      </c>
      <c r="C13" s="9" t="s">
        <v>24</v>
      </c>
      <c r="E13" s="10" t="s">
        <v>25</v>
      </c>
      <c r="F13" s="11" t="n">
        <f aca="false">COUNTIF(DVT_Master!$A$5:$A$202,$E13)</f>
        <v>11</v>
      </c>
      <c r="G13" s="11" t="n">
        <f aca="false">COUNTIFS(DVT_Master!$A$5:$A$202,$E13,DVT_Master!$N$5:$N$202,"Pass")</f>
        <v>0</v>
      </c>
      <c r="H13" s="11" t="n">
        <f aca="false">COUNTIFS(DVT_Master!$A$5:$A$202,$E13,DVT_Master!$N$5:$N$202,"Fail")</f>
        <v>0</v>
      </c>
      <c r="I13" s="11" t="n">
        <f aca="false">COUNTIFS(DVT_Master!$A$5:$A$202,$E13,DVT_Master!$N$5:$N$202,"Blocked")</f>
        <v>0</v>
      </c>
      <c r="J13" s="11" t="n">
        <f aca="false">COUNTIFS(DVT_Master!$A$5:$A$202,$E13,DVT_Master!$N$5:$N$202,"Not Run")</f>
        <v>11</v>
      </c>
      <c r="K13" s="12" t="n">
        <f aca="false">IF(F13=0,"",(G13+H13)/F13)</f>
        <v>0</v>
      </c>
    </row>
    <row r="14" customFormat="false" ht="15" hidden="false" customHeight="false" outlineLevel="0" collapsed="false">
      <c r="B14" s="11" t="s">
        <v>18</v>
      </c>
      <c r="C14" s="11" t="n">
        <f aca="false">COUNTIF(DVT_Master!$N$5:$N$202,"Pass")</f>
        <v>0</v>
      </c>
      <c r="E14" s="10" t="s">
        <v>26</v>
      </c>
      <c r="F14" s="11" t="n">
        <f aca="false">COUNTIF(DVT_Master!$A$5:$A$202,$E14)</f>
        <v>13</v>
      </c>
      <c r="G14" s="11" t="n">
        <f aca="false">COUNTIFS(DVT_Master!$A$5:$A$202,$E14,DVT_Master!$N$5:$N$202,"Pass")</f>
        <v>0</v>
      </c>
      <c r="H14" s="11" t="n">
        <f aca="false">COUNTIFS(DVT_Master!$A$5:$A$202,$E14,DVT_Master!$N$5:$N$202,"Fail")</f>
        <v>0</v>
      </c>
      <c r="I14" s="11" t="n">
        <f aca="false">COUNTIFS(DVT_Master!$A$5:$A$202,$E14,DVT_Master!$N$5:$N$202,"Blocked")</f>
        <v>0</v>
      </c>
      <c r="J14" s="11" t="n">
        <f aca="false">COUNTIFS(DVT_Master!$A$5:$A$202,$E14,DVT_Master!$N$5:$N$202,"Not Run")</f>
        <v>13</v>
      </c>
      <c r="K14" s="12" t="n">
        <f aca="false">IF(F14=0,"",(G14+H14)/F14)</f>
        <v>0</v>
      </c>
    </row>
    <row r="15" customFormat="false" ht="15" hidden="false" customHeight="false" outlineLevel="0" collapsed="false">
      <c r="B15" s="11" t="s">
        <v>19</v>
      </c>
      <c r="C15" s="11" t="n">
        <f aca="false">COUNTIF(DVT_Master!$N$5:$N$202,"Fail")</f>
        <v>0</v>
      </c>
      <c r="E15" s="10" t="s">
        <v>27</v>
      </c>
      <c r="F15" s="11" t="n">
        <f aca="false">COUNTIF(DVT_Master!$A$5:$A$202,$E15)</f>
        <v>14</v>
      </c>
      <c r="G15" s="11" t="n">
        <f aca="false">COUNTIFS(DVT_Master!$A$5:$A$202,$E15,DVT_Master!$N$5:$N$202,"Pass")</f>
        <v>0</v>
      </c>
      <c r="H15" s="11" t="n">
        <f aca="false">COUNTIFS(DVT_Master!$A$5:$A$202,$E15,DVT_Master!$N$5:$N$202,"Fail")</f>
        <v>0</v>
      </c>
      <c r="I15" s="11" t="n">
        <f aca="false">COUNTIFS(DVT_Master!$A$5:$A$202,$E15,DVT_Master!$N$5:$N$202,"Blocked")</f>
        <v>0</v>
      </c>
      <c r="J15" s="11" t="n">
        <f aca="false">COUNTIFS(DVT_Master!$A$5:$A$202,$E15,DVT_Master!$N$5:$N$202,"Not Run")</f>
        <v>14</v>
      </c>
      <c r="K15" s="12" t="n">
        <f aca="false">IF(F15=0,"",(G15+H15)/F15)</f>
        <v>0</v>
      </c>
    </row>
    <row r="16" customFormat="false" ht="15" hidden="false" customHeight="false" outlineLevel="0" collapsed="false">
      <c r="B16" s="11" t="s">
        <v>28</v>
      </c>
      <c r="C16" s="11" t="n">
        <f aca="false">COUNTIF(DVT_Master!$N$5:$N$202,"In Progress")</f>
        <v>0</v>
      </c>
      <c r="E16" s="10" t="s">
        <v>29</v>
      </c>
      <c r="F16" s="11" t="n">
        <f aca="false">COUNTIF(DVT_Master!$A$5:$A$202,$E16)</f>
        <v>6</v>
      </c>
      <c r="G16" s="11" t="n">
        <f aca="false">COUNTIFS(DVT_Master!$A$5:$A$202,$E16,DVT_Master!$N$5:$N$202,"Pass")</f>
        <v>0</v>
      </c>
      <c r="H16" s="11" t="n">
        <f aca="false">COUNTIFS(DVT_Master!$A$5:$A$202,$E16,DVT_Master!$N$5:$N$202,"Fail")</f>
        <v>0</v>
      </c>
      <c r="I16" s="11" t="n">
        <f aca="false">COUNTIFS(DVT_Master!$A$5:$A$202,$E16,DVT_Master!$N$5:$N$202,"Blocked")</f>
        <v>0</v>
      </c>
      <c r="J16" s="11" t="n">
        <f aca="false">COUNTIFS(DVT_Master!$A$5:$A$202,$E16,DVT_Master!$N$5:$N$202,"Not Run")</f>
        <v>6</v>
      </c>
      <c r="K16" s="12" t="n">
        <f aca="false">IF(F16=0,"",(G16+H16)/F16)</f>
        <v>0</v>
      </c>
    </row>
    <row r="17" customFormat="false" ht="15" hidden="false" customHeight="false" outlineLevel="0" collapsed="false">
      <c r="B17" s="11" t="s">
        <v>20</v>
      </c>
      <c r="C17" s="11" t="n">
        <f aca="false">COUNTIF(DVT_Master!$N$5:$N$202,"Blocked")</f>
        <v>0</v>
      </c>
      <c r="E17" s="10" t="s">
        <v>30</v>
      </c>
      <c r="F17" s="11" t="n">
        <f aca="false">COUNTIF(DVT_Master!$A$5:$A$202,$E17)</f>
        <v>6</v>
      </c>
      <c r="G17" s="11" t="n">
        <f aca="false">COUNTIFS(DVT_Master!$A$5:$A$202,$E17,DVT_Master!$N$5:$N$202,"Pass")</f>
        <v>0</v>
      </c>
      <c r="H17" s="11" t="n">
        <f aca="false">COUNTIFS(DVT_Master!$A$5:$A$202,$E17,DVT_Master!$N$5:$N$202,"Fail")</f>
        <v>0</v>
      </c>
      <c r="I17" s="11" t="n">
        <f aca="false">COUNTIFS(DVT_Master!$A$5:$A$202,$E17,DVT_Master!$N$5:$N$202,"Blocked")</f>
        <v>0</v>
      </c>
      <c r="J17" s="11" t="n">
        <f aca="false">COUNTIFS(DVT_Master!$A$5:$A$202,$E17,DVT_Master!$N$5:$N$202,"Not Run")</f>
        <v>6</v>
      </c>
      <c r="K17" s="12" t="n">
        <f aca="false">IF(F17=0,"",(G17+H17)/F17)</f>
        <v>0</v>
      </c>
    </row>
    <row r="18" customFormat="false" ht="15" hidden="false" customHeight="false" outlineLevel="0" collapsed="false">
      <c r="B18" s="11" t="s">
        <v>21</v>
      </c>
      <c r="C18" s="11" t="n">
        <f aca="false">COUNTIF(DVT_Master!$N$5:$N$202,"Not Run")</f>
        <v>101</v>
      </c>
      <c r="E18" s="10" t="s">
        <v>31</v>
      </c>
      <c r="F18" s="11" t="n">
        <f aca="false">COUNTIF(DVT_Master!$A$5:$A$202,$E18)</f>
        <v>10</v>
      </c>
      <c r="G18" s="11" t="n">
        <f aca="false">COUNTIFS(DVT_Master!$A$5:$A$202,$E18,DVT_Master!$N$5:$N$202,"Pass")</f>
        <v>0</v>
      </c>
      <c r="H18" s="11" t="n">
        <f aca="false">COUNTIFS(DVT_Master!$A$5:$A$202,$E18,DVT_Master!$N$5:$N$202,"Fail")</f>
        <v>0</v>
      </c>
      <c r="I18" s="11" t="n">
        <f aca="false">COUNTIFS(DVT_Master!$A$5:$A$202,$E18,DVT_Master!$N$5:$N$202,"Blocked")</f>
        <v>0</v>
      </c>
      <c r="J18" s="11" t="n">
        <f aca="false">COUNTIFS(DVT_Master!$A$5:$A$202,$E18,DVT_Master!$N$5:$N$202,"Not Run")</f>
        <v>10</v>
      </c>
      <c r="K18" s="12" t="n">
        <f aca="false">IF(F18=0,"",(G18+H18)/F18)</f>
        <v>0</v>
      </c>
    </row>
    <row r="19" customFormat="false" ht="15" hidden="false" customHeight="false" outlineLevel="0" collapsed="false">
      <c r="E19" s="10" t="s">
        <v>32</v>
      </c>
      <c r="F19" s="11" t="n">
        <f aca="false">COUNTIF(DVT_Master!$A$5:$A$202,$E19)</f>
        <v>9</v>
      </c>
      <c r="G19" s="11" t="n">
        <f aca="false">COUNTIFS(DVT_Master!$A$5:$A$202,$E19,DVT_Master!$N$5:$N$202,"Pass")</f>
        <v>0</v>
      </c>
      <c r="H19" s="11" t="n">
        <f aca="false">COUNTIFS(DVT_Master!$A$5:$A$202,$E19,DVT_Master!$N$5:$N$202,"Fail")</f>
        <v>0</v>
      </c>
      <c r="I19" s="11" t="n">
        <f aca="false">COUNTIFS(DVT_Master!$A$5:$A$202,$E19,DVT_Master!$N$5:$N$202,"Blocked")</f>
        <v>0</v>
      </c>
      <c r="J19" s="11" t="n">
        <f aca="false">COUNTIFS(DVT_Master!$A$5:$A$202,$E19,DVT_Master!$N$5:$N$202,"Not Run")</f>
        <v>9</v>
      </c>
      <c r="K19" s="12" t="n">
        <f aca="false">IF(F19=0,"",(G19+H19)/F19)</f>
        <v>0</v>
      </c>
    </row>
    <row r="20" customFormat="false" ht="15" hidden="false" customHeight="false" outlineLevel="0" collapsed="false">
      <c r="E20" s="10" t="s">
        <v>33</v>
      </c>
      <c r="F20" s="11" t="n">
        <f aca="false">COUNTIF(DVT_Master!$A$5:$A$202,$E20)</f>
        <v>5</v>
      </c>
      <c r="G20" s="11" t="n">
        <f aca="false">COUNTIFS(DVT_Master!$A$5:$A$202,$E20,DVT_Master!$N$5:$N$202,"Pass")</f>
        <v>0</v>
      </c>
      <c r="H20" s="11" t="n">
        <f aca="false">COUNTIFS(DVT_Master!$A$5:$A$202,$E20,DVT_Master!$N$5:$N$202,"Fail")</f>
        <v>0</v>
      </c>
      <c r="I20" s="11" t="n">
        <f aca="false">COUNTIFS(DVT_Master!$A$5:$A$202,$E20,DVT_Master!$N$5:$N$202,"Blocked")</f>
        <v>0</v>
      </c>
      <c r="J20" s="11" t="n">
        <f aca="false">COUNTIFS(DVT_Master!$A$5:$A$202,$E20,DVT_Master!$N$5:$N$202,"Not Run")</f>
        <v>5</v>
      </c>
      <c r="K20" s="12" t="n">
        <f aca="false">IF(F20=0,"",(G20+H20)/F20)</f>
        <v>0</v>
      </c>
    </row>
    <row r="21" customFormat="false" ht="15" hidden="false" customHeight="false" outlineLevel="0" collapsed="false">
      <c r="E21" s="10" t="s">
        <v>34</v>
      </c>
      <c r="F21" s="11" t="n">
        <f aca="false">COUNTIF(DVT_Master!$A$5:$A$202,$E21)</f>
        <v>5</v>
      </c>
      <c r="G21" s="11" t="n">
        <f aca="false">COUNTIFS(DVT_Master!$A$5:$A$202,$E21,DVT_Master!$N$5:$N$202,"Pass")</f>
        <v>0</v>
      </c>
      <c r="H21" s="11" t="n">
        <f aca="false">COUNTIFS(DVT_Master!$A$5:$A$202,$E21,DVT_Master!$N$5:$N$202,"Fail")</f>
        <v>0</v>
      </c>
      <c r="I21" s="11" t="n">
        <f aca="false">COUNTIFS(DVT_Master!$A$5:$A$202,$E21,DVT_Master!$N$5:$N$202,"Blocked")</f>
        <v>0</v>
      </c>
      <c r="J21" s="11" t="n">
        <f aca="false">COUNTIFS(DVT_Master!$A$5:$A$202,$E21,DVT_Master!$N$5:$N$202,"Not Run")</f>
        <v>5</v>
      </c>
      <c r="K21" s="12" t="n">
        <f aca="false">IF(F21=0,"",(G21+H21)/F21)</f>
        <v>0</v>
      </c>
    </row>
    <row r="22" customFormat="false" ht="15" hidden="false" customHeight="false" outlineLevel="0" collapsed="false">
      <c r="E22" s="10" t="s">
        <v>35</v>
      </c>
      <c r="F22" s="11" t="n">
        <f aca="false">COUNTIF(DVT_Master!$A$5:$A$202,$E22)</f>
        <v>9</v>
      </c>
      <c r="G22" s="11" t="n">
        <f aca="false">COUNTIFS(DVT_Master!$A$5:$A$202,$E22,DVT_Master!$N$5:$N$202,"Pass")</f>
        <v>0</v>
      </c>
      <c r="H22" s="11" t="n">
        <f aca="false">COUNTIFS(DVT_Master!$A$5:$A$202,$E22,DVT_Master!$N$5:$N$202,"Fail")</f>
        <v>0</v>
      </c>
      <c r="I22" s="11" t="n">
        <f aca="false">COUNTIFS(DVT_Master!$A$5:$A$202,$E22,DVT_Master!$N$5:$N$202,"Blocked")</f>
        <v>0</v>
      </c>
      <c r="J22" s="11" t="n">
        <f aca="false">COUNTIFS(DVT_Master!$A$5:$A$202,$E22,DVT_Master!$N$5:$N$202,"Not Run")</f>
        <v>9</v>
      </c>
      <c r="K22" s="12" t="n">
        <f aca="false">IF(F22=0,"",(G22+H22)/F22)</f>
        <v>0</v>
      </c>
    </row>
    <row r="23" customFormat="false" ht="15" hidden="false" customHeight="false" outlineLevel="0" collapsed="false">
      <c r="E23" s="10" t="s">
        <v>36</v>
      </c>
      <c r="F23" s="11" t="n">
        <f aca="false">COUNTIF(DVT_Master!$A$5:$A$202,$E23)</f>
        <v>7</v>
      </c>
      <c r="G23" s="11" t="n">
        <f aca="false">COUNTIFS(DVT_Master!$A$5:$A$202,$E23,DVT_Master!$N$5:$N$202,"Pass")</f>
        <v>0</v>
      </c>
      <c r="H23" s="11" t="n">
        <f aca="false">COUNTIFS(DVT_Master!$A$5:$A$202,$E23,DVT_Master!$N$5:$N$202,"Fail")</f>
        <v>0</v>
      </c>
      <c r="I23" s="11" t="n">
        <f aca="false">COUNTIFS(DVT_Master!$A$5:$A$202,$E23,DVT_Master!$N$5:$N$202,"Blocked")</f>
        <v>0</v>
      </c>
      <c r="J23" s="11" t="n">
        <f aca="false">COUNTIFS(DVT_Master!$A$5:$A$202,$E23,DVT_Master!$N$5:$N$202,"Not Run")</f>
        <v>7</v>
      </c>
      <c r="K23" s="12" t="n">
        <f aca="false">IF(F23=0,"",(G23+H23)/F23)</f>
        <v>0</v>
      </c>
    </row>
    <row r="24" customFormat="false" ht="15" hidden="false" customHeight="false" outlineLevel="0" collapsed="false">
      <c r="E24" s="10" t="s">
        <v>37</v>
      </c>
      <c r="F24" s="11" t="n">
        <f aca="false">COUNTIF(DVT_Master!$A$5:$A$202,$E24)</f>
        <v>6</v>
      </c>
      <c r="G24" s="11" t="n">
        <f aca="false">COUNTIFS(DVT_Master!$A$5:$A$202,$E24,DVT_Master!$N$5:$N$202,"Pass")</f>
        <v>0</v>
      </c>
      <c r="H24" s="11" t="n">
        <f aca="false">COUNTIFS(DVT_Master!$A$5:$A$202,$E24,DVT_Master!$N$5:$N$202,"Fail")</f>
        <v>0</v>
      </c>
      <c r="I24" s="11" t="n">
        <f aca="false">COUNTIFS(DVT_Master!$A$5:$A$202,$E24,DVT_Master!$N$5:$N$202,"Blocked")</f>
        <v>0</v>
      </c>
      <c r="J24" s="11" t="n">
        <f aca="false">COUNTIFS(DVT_Master!$A$5:$A$202,$E24,DVT_Master!$N$5:$N$202,"Not Run")</f>
        <v>6</v>
      </c>
      <c r="K24" s="12" t="n">
        <f aca="false">IF(F24=0,"",(G24+H24)/F24)</f>
        <v>0</v>
      </c>
    </row>
    <row r="27" customFormat="false" ht="15" hidden="false" customHeight="false" outlineLevel="0" collapsed="false">
      <c r="B27" s="3" t="s">
        <v>38</v>
      </c>
      <c r="C27" s="13"/>
    </row>
    <row r="28" customFormat="false" ht="15" hidden="false" customHeight="false" outlineLevel="0" collapsed="false">
      <c r="B28" s="3" t="s">
        <v>39</v>
      </c>
      <c r="C2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14" t="s">
        <v>40</v>
      </c>
    </row>
    <row r="4" customFormat="false" ht="15" hidden="false" customHeight="false" outlineLevel="0" collapsed="false">
      <c r="B4" s="15" t="s">
        <v>41</v>
      </c>
    </row>
    <row r="5" customFormat="false" ht="15" hidden="false" customHeight="false" outlineLevel="0" collapsed="false">
      <c r="B5" s="16" t="s">
        <v>42</v>
      </c>
    </row>
    <row r="6" customFormat="false" ht="15" hidden="false" customHeight="false" outlineLevel="0" collapsed="false">
      <c r="B6" s="16" t="s">
        <v>43</v>
      </c>
    </row>
    <row r="7" customFormat="false" ht="23.85" hidden="false" customHeight="false" outlineLevel="0" collapsed="false">
      <c r="B7" s="16" t="s">
        <v>44</v>
      </c>
    </row>
    <row r="8" customFormat="false" ht="15" hidden="false" customHeight="false" outlineLevel="0" collapsed="false">
      <c r="B8" s="16" t="s">
        <v>45</v>
      </c>
    </row>
    <row r="9" customFormat="false" ht="15" hidden="false" customHeight="false" outlineLevel="0" collapsed="false">
      <c r="B9" s="16" t="s">
        <v>46</v>
      </c>
    </row>
    <row r="10" customFormat="false" ht="23.85" hidden="false" customHeight="false" outlineLevel="0" collapsed="false">
      <c r="B10" s="16" t="s">
        <v>47</v>
      </c>
    </row>
    <row r="11" customFormat="false" ht="15" hidden="false" customHeight="false" outlineLevel="0" collapsed="false">
      <c r="B11" s="16" t="s">
        <v>48</v>
      </c>
    </row>
    <row r="12" customFormat="false" ht="15" hidden="false" customHeight="false" outlineLevel="0" collapsed="false">
      <c r="B12" s="15" t="s">
        <v>49</v>
      </c>
    </row>
    <row r="13" customFormat="false" ht="23.85" hidden="false" customHeight="false" outlineLevel="0" collapsed="false">
      <c r="B13" s="16" t="s">
        <v>50</v>
      </c>
    </row>
    <row r="14" customFormat="false" ht="23.85" hidden="false" customHeight="false" outlineLevel="0" collapsed="false">
      <c r="B14" s="16" t="s">
        <v>51</v>
      </c>
    </row>
    <row r="15" customFormat="false" ht="23.85" hidden="false" customHeight="false" outlineLevel="0" collapsed="false">
      <c r="B15" s="16" t="s">
        <v>52</v>
      </c>
    </row>
    <row r="16" customFormat="false" ht="15" hidden="false" customHeight="false" outlineLevel="0" collapsed="false">
      <c r="B16" s="15" t="s">
        <v>53</v>
      </c>
    </row>
    <row r="17" customFormat="false" ht="15" hidden="false" customHeight="false" outlineLevel="0" collapsed="false">
      <c r="B17" s="16" t="s">
        <v>54</v>
      </c>
    </row>
    <row r="18" customFormat="false" ht="15" hidden="false" customHeight="false" outlineLevel="0" collapsed="false">
      <c r="B18" s="16" t="s">
        <v>55</v>
      </c>
    </row>
    <row r="19" customFormat="false" ht="15" hidden="false" customHeight="false" outlineLevel="0" collapsed="false">
      <c r="B19" s="1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58"/>
    <col collapsed="false" customWidth="true" hidden="false" outlineLevel="0" max="6" min="6" style="0" width="30"/>
    <col collapsed="false" customWidth="true" hidden="false" outlineLevel="0" max="9" min="7" style="0" width="11"/>
    <col collapsed="false" customWidth="true" hidden="false" outlineLevel="0" max="10" min="10" style="0" width="7"/>
    <col collapsed="false" customWidth="true" hidden="false" outlineLevel="0" max="13" min="11" style="0" width="13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15" hidden="false" customHeight="false" outlineLevel="0" collapsed="false">
      <c r="A1" s="17" t="str">
        <f aca="false">Dashboard!B3 &amp; "  —  " &amp; Dashboard!C6 &amp; "   |   Board S/N: " &amp; Dashboard!C7 &amp; "   |   Tester: " &amp; Dashboard!C8</f>
        <v>nRF5340 BLE Development Board (MDBT53-1M + RP2040 probe)  —  Rev B   |   Board S/N:    |   Tester: </v>
      </c>
    </row>
    <row r="2" customFormat="false" ht="15" hidden="false" customHeight="false" outlineLevel="0" collapsed="false">
      <c r="A2" s="18" t="s">
        <v>57</v>
      </c>
    </row>
    <row r="4" customFormat="false" ht="23.85" hidden="false" customHeight="false" outlineLevel="0" collapsed="false">
      <c r="A4" s="19" t="s">
        <v>16</v>
      </c>
      <c r="B4" s="19" t="s">
        <v>58</v>
      </c>
      <c r="C4" s="20" t="s">
        <v>59</v>
      </c>
      <c r="D4" s="19" t="s">
        <v>60</v>
      </c>
      <c r="E4" s="19" t="s">
        <v>61</v>
      </c>
      <c r="F4" s="19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19" t="s">
        <v>67</v>
      </c>
      <c r="L4" s="20" t="s">
        <v>68</v>
      </c>
      <c r="M4" s="19" t="s">
        <v>69</v>
      </c>
      <c r="N4" s="20" t="s">
        <v>70</v>
      </c>
      <c r="O4" s="19" t="s">
        <v>71</v>
      </c>
    </row>
    <row r="5" customFormat="false" ht="22.35" hidden="false" customHeight="false" outlineLevel="0" collapsed="false">
      <c r="A5" s="21" t="s">
        <v>25</v>
      </c>
      <c r="B5" s="21" t="n">
        <v>1</v>
      </c>
      <c r="C5" s="21" t="str">
        <f aca="false">IF(ISBLANK(A5),"",A5&amp;"-"&amp;TEXT(B5,"000"))</f>
        <v>VIS-001</v>
      </c>
      <c r="D5" s="21" t="s">
        <v>72</v>
      </c>
      <c r="E5" s="22" t="s">
        <v>73</v>
      </c>
      <c r="F5" s="22" t="s">
        <v>74</v>
      </c>
      <c r="G5" s="21"/>
      <c r="H5" s="21"/>
      <c r="I5" s="21"/>
      <c r="J5" s="21"/>
      <c r="K5" s="23"/>
      <c r="L5" s="21" t="str">
        <f aca="false">IF(OR(ISBLANK(K5),AND(ISBLANK(H5),ISBLANK(I5))),"",IF(AND(IF(ISBLANK(H5),TRUE(),K5&gt;=H5),IF(ISBLANK(I5),TRUE(),K5&lt;=I5)),"Pass","Fail"))</f>
        <v/>
      </c>
      <c r="M5" s="23" t="s">
        <v>21</v>
      </c>
      <c r="N5" s="21" t="str">
        <f aca="false">IF(AND(M5&lt;&gt;"Not Run",M5&lt;&gt;""),M5,IF(L5&lt;&gt;"",L5,"Not Run"))</f>
        <v>Not Run</v>
      </c>
      <c r="O5" s="24"/>
    </row>
    <row r="6" customFormat="false" ht="22.35" hidden="false" customHeight="false" outlineLevel="0" collapsed="false">
      <c r="A6" s="21" t="s">
        <v>25</v>
      </c>
      <c r="B6" s="21" t="n">
        <v>2</v>
      </c>
      <c r="C6" s="21" t="str">
        <f aca="false">IF(ISBLANK(A6),"",A6&amp;"-"&amp;TEXT(B6,"000"))</f>
        <v>VIS-002</v>
      </c>
      <c r="D6" s="21" t="s">
        <v>75</v>
      </c>
      <c r="E6" s="22" t="s">
        <v>76</v>
      </c>
      <c r="F6" s="22" t="s">
        <v>77</v>
      </c>
      <c r="G6" s="21"/>
      <c r="H6" s="21"/>
      <c r="I6" s="21"/>
      <c r="J6" s="21"/>
      <c r="K6" s="23"/>
      <c r="L6" s="21" t="str">
        <f aca="false">IF(OR(ISBLANK(K6),AND(ISBLANK(H6),ISBLANK(I6))),"",IF(AND(IF(ISBLANK(H6),TRUE(),K6&gt;=H6),IF(ISBLANK(I6),TRUE(),K6&lt;=I6)),"Pass","Fail"))</f>
        <v/>
      </c>
      <c r="M6" s="23" t="s">
        <v>21</v>
      </c>
      <c r="N6" s="21" t="str">
        <f aca="false">IF(AND(M6&lt;&gt;"Not Run",M6&lt;&gt;""),M6,IF(L6&lt;&gt;"",L6,"Not Run"))</f>
        <v>Not Run</v>
      </c>
      <c r="O6" s="24"/>
    </row>
    <row r="7" customFormat="false" ht="15" hidden="false" customHeight="false" outlineLevel="0" collapsed="false">
      <c r="A7" s="21" t="s">
        <v>25</v>
      </c>
      <c r="B7" s="21" t="n">
        <v>3</v>
      </c>
      <c r="C7" s="21" t="str">
        <f aca="false">IF(ISBLANK(A7),"",A7&amp;"-"&amp;TEXT(B7,"000"))</f>
        <v>VIS-003</v>
      </c>
      <c r="D7" s="21" t="s">
        <v>78</v>
      </c>
      <c r="E7" s="22" t="s">
        <v>79</v>
      </c>
      <c r="F7" s="22" t="s">
        <v>80</v>
      </c>
      <c r="G7" s="21"/>
      <c r="H7" s="21"/>
      <c r="I7" s="21"/>
      <c r="J7" s="21"/>
      <c r="K7" s="23"/>
      <c r="L7" s="21" t="str">
        <f aca="false">IF(OR(ISBLANK(K7),AND(ISBLANK(H7),ISBLANK(I7))),"",IF(AND(IF(ISBLANK(H7),TRUE(),K7&gt;=H7),IF(ISBLANK(I7),TRUE(),K7&lt;=I7)),"Pass","Fail"))</f>
        <v/>
      </c>
      <c r="M7" s="23" t="s">
        <v>21</v>
      </c>
      <c r="N7" s="21" t="str">
        <f aca="false">IF(AND(M7&lt;&gt;"Not Run",M7&lt;&gt;""),M7,IF(L7&lt;&gt;"",L7,"Not Run"))</f>
        <v>Not Run</v>
      </c>
      <c r="O7" s="24"/>
    </row>
    <row r="8" customFormat="false" ht="22.35" hidden="false" customHeight="false" outlineLevel="0" collapsed="false">
      <c r="A8" s="21" t="s">
        <v>25</v>
      </c>
      <c r="B8" s="21" t="n">
        <v>4</v>
      </c>
      <c r="C8" s="21" t="str">
        <f aca="false">IF(ISBLANK(A8),"",A8&amp;"-"&amp;TEXT(B8,"000"))</f>
        <v>VIS-004</v>
      </c>
      <c r="D8" s="21" t="s">
        <v>81</v>
      </c>
      <c r="E8" s="22" t="s">
        <v>82</v>
      </c>
      <c r="F8" s="22" t="s">
        <v>83</v>
      </c>
      <c r="G8" s="21"/>
      <c r="H8" s="21"/>
      <c r="I8" s="21"/>
      <c r="J8" s="21"/>
      <c r="K8" s="23"/>
      <c r="L8" s="21" t="str">
        <f aca="false">IF(OR(ISBLANK(K8),AND(ISBLANK(H8),ISBLANK(I8))),"",IF(AND(IF(ISBLANK(H8),TRUE(),K8&gt;=H8),IF(ISBLANK(I8),TRUE(),K8&lt;=I8)),"Pass","Fail"))</f>
        <v/>
      </c>
      <c r="M8" s="23" t="s">
        <v>21</v>
      </c>
      <c r="N8" s="21" t="str">
        <f aca="false">IF(AND(M8&lt;&gt;"Not Run",M8&lt;&gt;""),M8,IF(L8&lt;&gt;"",L8,"Not Run"))</f>
        <v>Not Run</v>
      </c>
      <c r="O8" s="24"/>
    </row>
    <row r="9" customFormat="false" ht="22.35" hidden="false" customHeight="false" outlineLevel="0" collapsed="false">
      <c r="A9" s="21" t="s">
        <v>25</v>
      </c>
      <c r="B9" s="21" t="n">
        <v>5</v>
      </c>
      <c r="C9" s="21" t="str">
        <f aca="false">IF(ISBLANK(A9),"",A9&amp;"-"&amp;TEXT(B9,"000"))</f>
        <v>VIS-005</v>
      </c>
      <c r="D9" s="21" t="s">
        <v>84</v>
      </c>
      <c r="E9" s="22" t="s">
        <v>85</v>
      </c>
      <c r="F9" s="22" t="s">
        <v>83</v>
      </c>
      <c r="G9" s="21"/>
      <c r="H9" s="21"/>
      <c r="I9" s="21"/>
      <c r="J9" s="21"/>
      <c r="K9" s="23"/>
      <c r="L9" s="21" t="str">
        <f aca="false">IF(OR(ISBLANK(K9),AND(ISBLANK(H9),ISBLANK(I9))),"",IF(AND(IF(ISBLANK(H9),TRUE(),K9&gt;=H9),IF(ISBLANK(I9),TRUE(),K9&lt;=I9)),"Pass","Fail"))</f>
        <v/>
      </c>
      <c r="M9" s="23" t="s">
        <v>21</v>
      </c>
      <c r="N9" s="21" t="str">
        <f aca="false">IF(AND(M9&lt;&gt;"Not Run",M9&lt;&gt;""),M9,IF(L9&lt;&gt;"",L9,"Not Run"))</f>
        <v>Not Run</v>
      </c>
      <c r="O9" s="24"/>
    </row>
    <row r="10" customFormat="false" ht="22.35" hidden="false" customHeight="false" outlineLevel="0" collapsed="false">
      <c r="A10" s="21" t="s">
        <v>25</v>
      </c>
      <c r="B10" s="21" t="n">
        <v>6</v>
      </c>
      <c r="C10" s="21" t="str">
        <f aca="false">IF(ISBLANK(A10),"",A10&amp;"-"&amp;TEXT(B10,"000"))</f>
        <v>VIS-006</v>
      </c>
      <c r="D10" s="21" t="s">
        <v>86</v>
      </c>
      <c r="E10" s="22" t="s">
        <v>87</v>
      </c>
      <c r="F10" s="22" t="s">
        <v>83</v>
      </c>
      <c r="G10" s="21"/>
      <c r="H10" s="21"/>
      <c r="I10" s="21"/>
      <c r="J10" s="21"/>
      <c r="K10" s="23"/>
      <c r="L10" s="21" t="str">
        <f aca="false">IF(OR(ISBLANK(K10),AND(ISBLANK(H10),ISBLANK(I10))),"",IF(AND(IF(ISBLANK(H10),TRUE(),K10&gt;=H10),IF(ISBLANK(I10),TRUE(),K10&lt;=I10)),"Pass","Fail"))</f>
        <v/>
      </c>
      <c r="M10" s="23" t="s">
        <v>21</v>
      </c>
      <c r="N10" s="21" t="str">
        <f aca="false">IF(AND(M10&lt;&gt;"Not Run",M10&lt;&gt;""),M10,IF(L10&lt;&gt;"",L10,"Not Run"))</f>
        <v>Not Run</v>
      </c>
      <c r="O10" s="24"/>
    </row>
    <row r="11" customFormat="false" ht="22.35" hidden="false" customHeight="false" outlineLevel="0" collapsed="false">
      <c r="A11" s="21" t="s">
        <v>25</v>
      </c>
      <c r="B11" s="21" t="n">
        <v>7</v>
      </c>
      <c r="C11" s="21" t="str">
        <f aca="false">IF(ISBLANK(A11),"",A11&amp;"-"&amp;TEXT(B11,"000"))</f>
        <v>VIS-007</v>
      </c>
      <c r="D11" s="21" t="s">
        <v>88</v>
      </c>
      <c r="E11" s="22" t="s">
        <v>89</v>
      </c>
      <c r="F11" s="22" t="s">
        <v>90</v>
      </c>
      <c r="G11" s="21"/>
      <c r="H11" s="21"/>
      <c r="I11" s="21"/>
      <c r="J11" s="21"/>
      <c r="K11" s="23"/>
      <c r="L11" s="21" t="str">
        <f aca="false">IF(OR(ISBLANK(K11),AND(ISBLANK(H11),ISBLANK(I11))),"",IF(AND(IF(ISBLANK(H11),TRUE(),K11&gt;=H11),IF(ISBLANK(I11),TRUE(),K11&lt;=I11)),"Pass","Fail"))</f>
        <v/>
      </c>
      <c r="M11" s="23" t="s">
        <v>21</v>
      </c>
      <c r="N11" s="21" t="str">
        <f aca="false">IF(AND(M11&lt;&gt;"Not Run",M11&lt;&gt;""),M11,IF(L11&lt;&gt;"",L11,"Not Run"))</f>
        <v>Not Run</v>
      </c>
      <c r="O11" s="24"/>
    </row>
    <row r="12" customFormat="false" ht="15" hidden="false" customHeight="false" outlineLevel="0" collapsed="false">
      <c r="A12" s="21" t="s">
        <v>25</v>
      </c>
      <c r="B12" s="21" t="n">
        <v>8</v>
      </c>
      <c r="C12" s="21" t="str">
        <f aca="false">IF(ISBLANK(A12),"",A12&amp;"-"&amp;TEXT(B12,"000"))</f>
        <v>VIS-008</v>
      </c>
      <c r="D12" s="21" t="s">
        <v>91</v>
      </c>
      <c r="E12" s="22" t="s">
        <v>92</v>
      </c>
      <c r="F12" s="22" t="s">
        <v>93</v>
      </c>
      <c r="G12" s="21"/>
      <c r="H12" s="21"/>
      <c r="I12" s="21"/>
      <c r="J12" s="21"/>
      <c r="K12" s="23"/>
      <c r="L12" s="21" t="str">
        <f aca="false">IF(OR(ISBLANK(K12),AND(ISBLANK(H12),ISBLANK(I12))),"",IF(AND(IF(ISBLANK(H12),TRUE(),K12&gt;=H12),IF(ISBLANK(I12),TRUE(),K12&lt;=I12)),"Pass","Fail"))</f>
        <v/>
      </c>
      <c r="M12" s="23" t="s">
        <v>21</v>
      </c>
      <c r="N12" s="21" t="str">
        <f aca="false">IF(AND(M12&lt;&gt;"Not Run",M12&lt;&gt;""),M12,IF(L12&lt;&gt;"",L12,"Not Run"))</f>
        <v>Not Run</v>
      </c>
      <c r="O12" s="24"/>
    </row>
    <row r="13" customFormat="false" ht="22.35" hidden="false" customHeight="false" outlineLevel="0" collapsed="false">
      <c r="A13" s="21" t="s">
        <v>25</v>
      </c>
      <c r="B13" s="21" t="n">
        <v>9</v>
      </c>
      <c r="C13" s="21" t="str">
        <f aca="false">IF(ISBLANK(A13),"",A13&amp;"-"&amp;TEXT(B13,"000"))</f>
        <v>VIS-009</v>
      </c>
      <c r="D13" s="21" t="s">
        <v>94</v>
      </c>
      <c r="E13" s="22" t="s">
        <v>95</v>
      </c>
      <c r="F13" s="22" t="s">
        <v>96</v>
      </c>
      <c r="G13" s="21"/>
      <c r="H13" s="21"/>
      <c r="I13" s="21"/>
      <c r="J13" s="21"/>
      <c r="K13" s="23"/>
      <c r="L13" s="21" t="str">
        <f aca="false">IF(OR(ISBLANK(K13),AND(ISBLANK(H13),ISBLANK(I13))),"",IF(AND(IF(ISBLANK(H13),TRUE(),K13&gt;=H13),IF(ISBLANK(I13),TRUE(),K13&lt;=I13)),"Pass","Fail"))</f>
        <v/>
      </c>
      <c r="M13" s="23" t="s">
        <v>21</v>
      </c>
      <c r="N13" s="21" t="str">
        <f aca="false">IF(AND(M13&lt;&gt;"Not Run",M13&lt;&gt;""),M13,IF(L13&lt;&gt;"",L13,"Not Run"))</f>
        <v>Not Run</v>
      </c>
      <c r="O13" s="24"/>
    </row>
    <row r="14" customFormat="false" ht="22.35" hidden="false" customHeight="false" outlineLevel="0" collapsed="false">
      <c r="A14" s="21" t="s">
        <v>25</v>
      </c>
      <c r="B14" s="21" t="n">
        <v>10</v>
      </c>
      <c r="C14" s="21" t="str">
        <f aca="false">IF(ISBLANK(A14),"",A14&amp;"-"&amp;TEXT(B14,"000"))</f>
        <v>VIS-010</v>
      </c>
      <c r="D14" s="21" t="s">
        <v>97</v>
      </c>
      <c r="E14" s="22" t="s">
        <v>98</v>
      </c>
      <c r="F14" s="22" t="s">
        <v>99</v>
      </c>
      <c r="G14" s="21"/>
      <c r="H14" s="21"/>
      <c r="I14" s="21"/>
      <c r="J14" s="21"/>
      <c r="K14" s="23"/>
      <c r="L14" s="21" t="str">
        <f aca="false">IF(OR(ISBLANK(K14),AND(ISBLANK(H14),ISBLANK(I14))),"",IF(AND(IF(ISBLANK(H14),TRUE(),K14&gt;=H14),IF(ISBLANK(I14),TRUE(),K14&lt;=I14)),"Pass","Fail"))</f>
        <v/>
      </c>
      <c r="M14" s="23" t="s">
        <v>21</v>
      </c>
      <c r="N14" s="21" t="str">
        <f aca="false">IF(AND(M14&lt;&gt;"Not Run",M14&lt;&gt;""),M14,IF(L14&lt;&gt;"",L14,"Not Run"))</f>
        <v>Not Run</v>
      </c>
      <c r="O14" s="24"/>
    </row>
    <row r="15" customFormat="false" ht="22.35" hidden="false" customHeight="false" outlineLevel="0" collapsed="false">
      <c r="A15" s="21" t="s">
        <v>25</v>
      </c>
      <c r="B15" s="21" t="n">
        <v>11</v>
      </c>
      <c r="C15" s="21" t="str">
        <f aca="false">IF(ISBLANK(A15),"",A15&amp;"-"&amp;TEXT(B15,"000"))</f>
        <v>VIS-011</v>
      </c>
      <c r="D15" s="21" t="s">
        <v>100</v>
      </c>
      <c r="E15" s="22" t="s">
        <v>101</v>
      </c>
      <c r="F15" s="22" t="s">
        <v>102</v>
      </c>
      <c r="G15" s="21"/>
      <c r="H15" s="21"/>
      <c r="I15" s="21"/>
      <c r="J15" s="21"/>
      <c r="K15" s="23"/>
      <c r="L15" s="21" t="str">
        <f aca="false">IF(OR(ISBLANK(K15),AND(ISBLANK(H15),ISBLANK(I15))),"",IF(AND(IF(ISBLANK(H15),TRUE(),K15&gt;=H15),IF(ISBLANK(I15),TRUE(),K15&lt;=I15)),"Pass","Fail"))</f>
        <v/>
      </c>
      <c r="M15" s="23" t="s">
        <v>21</v>
      </c>
      <c r="N15" s="21" t="str">
        <f aca="false">IF(AND(M15&lt;&gt;"Not Run",M15&lt;&gt;""),M15,IF(L15&lt;&gt;"",L15,"Not Run"))</f>
        <v>Not Run</v>
      </c>
      <c r="O15" s="24"/>
    </row>
    <row r="16" customFormat="false" ht="22.35" hidden="false" customHeight="false" outlineLevel="0" collapsed="false">
      <c r="A16" s="21" t="s">
        <v>26</v>
      </c>
      <c r="B16" s="21" t="n">
        <v>1</v>
      </c>
      <c r="C16" s="21" t="str">
        <f aca="false">IF(ISBLANK(A16),"",A16&amp;"-"&amp;TEXT(B16,"000"))</f>
        <v>PRE-001</v>
      </c>
      <c r="D16" s="21" t="s">
        <v>103</v>
      </c>
      <c r="E16" s="22" t="s">
        <v>104</v>
      </c>
      <c r="F16" s="22" t="s">
        <v>105</v>
      </c>
      <c r="G16" s="21"/>
      <c r="H16" s="21"/>
      <c r="I16" s="21"/>
      <c r="J16" s="21"/>
      <c r="K16" s="23"/>
      <c r="L16" s="21" t="str">
        <f aca="false">IF(OR(ISBLANK(K16),AND(ISBLANK(H16),ISBLANK(I16))),"",IF(AND(IF(ISBLANK(H16),TRUE(),K16&gt;=H16),IF(ISBLANK(I16),TRUE(),K16&lt;=I16)),"Pass","Fail"))</f>
        <v/>
      </c>
      <c r="M16" s="23" t="s">
        <v>21</v>
      </c>
      <c r="N16" s="21" t="str">
        <f aca="false">IF(AND(M16&lt;&gt;"Not Run",M16&lt;&gt;""),M16,IF(L16&lt;&gt;"",L16,"Not Run"))</f>
        <v>Not Run</v>
      </c>
      <c r="O16" s="24"/>
    </row>
    <row r="17" customFormat="false" ht="15" hidden="false" customHeight="false" outlineLevel="0" collapsed="false">
      <c r="A17" s="21" t="s">
        <v>26</v>
      </c>
      <c r="B17" s="21" t="n">
        <v>2</v>
      </c>
      <c r="C17" s="21" t="str">
        <f aca="false">IF(ISBLANK(A17),"",A17&amp;"-"&amp;TEXT(B17,"000"))</f>
        <v>PRE-002</v>
      </c>
      <c r="D17" s="21" t="s">
        <v>106</v>
      </c>
      <c r="E17" s="22" t="s">
        <v>107</v>
      </c>
      <c r="F17" s="22" t="s">
        <v>108</v>
      </c>
      <c r="G17" s="21" t="n">
        <v>10000</v>
      </c>
      <c r="H17" s="21" t="n">
        <v>1000</v>
      </c>
      <c r="I17" s="21"/>
      <c r="J17" s="21" t="s">
        <v>109</v>
      </c>
      <c r="K17" s="23"/>
      <c r="L17" s="21" t="str">
        <f aca="false">IF(OR(ISBLANK(K17),AND(ISBLANK(H17),ISBLANK(I17))),"",IF(AND(IF(ISBLANK(H17),TRUE(),K17&gt;=H17),IF(ISBLANK(I17),TRUE(),K17&lt;=I17)),"Pass","Fail"))</f>
        <v/>
      </c>
      <c r="M17" s="23" t="s">
        <v>21</v>
      </c>
      <c r="N17" s="21" t="str">
        <f aca="false">IF(AND(M17&lt;&gt;"Not Run",M17&lt;&gt;""),M17,IF(L17&lt;&gt;"",L17,"Not Run"))</f>
        <v>Not Run</v>
      </c>
      <c r="O17" s="24"/>
    </row>
    <row r="18" customFormat="false" ht="15" hidden="false" customHeight="false" outlineLevel="0" collapsed="false">
      <c r="A18" s="21" t="s">
        <v>26</v>
      </c>
      <c r="B18" s="21" t="n">
        <v>3</v>
      </c>
      <c r="C18" s="21" t="str">
        <f aca="false">IF(ISBLANK(A18),"",A18&amp;"-"&amp;TEXT(B18,"000"))</f>
        <v>PRE-003</v>
      </c>
      <c r="D18" s="21" t="s">
        <v>110</v>
      </c>
      <c r="E18" s="22" t="s">
        <v>111</v>
      </c>
      <c r="F18" s="22" t="s">
        <v>112</v>
      </c>
      <c r="G18" s="21"/>
      <c r="H18" s="21" t="n">
        <v>50000</v>
      </c>
      <c r="I18" s="21"/>
      <c r="J18" s="21" t="s">
        <v>109</v>
      </c>
      <c r="K18" s="23"/>
      <c r="L18" s="21" t="str">
        <f aca="false">IF(OR(ISBLANK(K18),AND(ISBLANK(H18),ISBLANK(I18))),"",IF(AND(IF(ISBLANK(H18),TRUE(),K18&gt;=H18),IF(ISBLANK(I18),TRUE(),K18&lt;=I18)),"Pass","Fail"))</f>
        <v/>
      </c>
      <c r="M18" s="23" t="s">
        <v>21</v>
      </c>
      <c r="N18" s="21" t="str">
        <f aca="false">IF(AND(M18&lt;&gt;"Not Run",M18&lt;&gt;""),M18,IF(L18&lt;&gt;"",L18,"Not Run"))</f>
        <v>Not Run</v>
      </c>
      <c r="O18" s="24"/>
    </row>
    <row r="19" customFormat="false" ht="15" hidden="false" customHeight="false" outlineLevel="0" collapsed="false">
      <c r="A19" s="21" t="s">
        <v>26</v>
      </c>
      <c r="B19" s="21" t="n">
        <v>4</v>
      </c>
      <c r="C19" s="21" t="str">
        <f aca="false">IF(ISBLANK(A19),"",A19&amp;"-"&amp;TEXT(B19,"000"))</f>
        <v>PRE-004</v>
      </c>
      <c r="D19" s="21" t="s">
        <v>113</v>
      </c>
      <c r="E19" s="22" t="s">
        <v>114</v>
      </c>
      <c r="F19" s="22" t="s">
        <v>115</v>
      </c>
      <c r="G19" s="21"/>
      <c r="H19" s="21" t="n">
        <v>5000</v>
      </c>
      <c r="I19" s="21"/>
      <c r="J19" s="21" t="s">
        <v>109</v>
      </c>
      <c r="K19" s="23"/>
      <c r="L19" s="21" t="str">
        <f aca="false">IF(OR(ISBLANK(K19),AND(ISBLANK(H19),ISBLANK(I19))),"",IF(AND(IF(ISBLANK(H19),TRUE(),K19&gt;=H19),IF(ISBLANK(I19),TRUE(),K19&lt;=I19)),"Pass","Fail"))</f>
        <v/>
      </c>
      <c r="M19" s="23" t="s">
        <v>21</v>
      </c>
      <c r="N19" s="21" t="str">
        <f aca="false">IF(AND(M19&lt;&gt;"Not Run",M19&lt;&gt;""),M19,IF(L19&lt;&gt;"",L19,"Not Run"))</f>
        <v>Not Run</v>
      </c>
      <c r="O19" s="24"/>
    </row>
    <row r="20" customFormat="false" ht="15" hidden="false" customHeight="false" outlineLevel="0" collapsed="false">
      <c r="A20" s="21" t="s">
        <v>26</v>
      </c>
      <c r="B20" s="21" t="n">
        <v>5</v>
      </c>
      <c r="C20" s="21" t="str">
        <f aca="false">IF(ISBLANK(A20),"",A20&amp;"-"&amp;TEXT(B20,"000"))</f>
        <v>PRE-005</v>
      </c>
      <c r="D20" s="21" t="s">
        <v>116</v>
      </c>
      <c r="E20" s="22" t="s">
        <v>117</v>
      </c>
      <c r="F20" s="22" t="s">
        <v>115</v>
      </c>
      <c r="G20" s="21"/>
      <c r="H20" s="21" t="n">
        <v>5000</v>
      </c>
      <c r="I20" s="21"/>
      <c r="J20" s="21" t="s">
        <v>109</v>
      </c>
      <c r="K20" s="23"/>
      <c r="L20" s="21" t="str">
        <f aca="false">IF(OR(ISBLANK(K20),AND(ISBLANK(H20),ISBLANK(I20))),"",IF(AND(IF(ISBLANK(H20),TRUE(),K20&gt;=H20),IF(ISBLANK(I20),TRUE(),K20&lt;=I20)),"Pass","Fail"))</f>
        <v/>
      </c>
      <c r="M20" s="23" t="s">
        <v>21</v>
      </c>
      <c r="N20" s="21" t="str">
        <f aca="false">IF(AND(M20&lt;&gt;"Not Run",M20&lt;&gt;""),M20,IF(L20&lt;&gt;"",L20,"Not Run"))</f>
        <v>Not Run</v>
      </c>
      <c r="O20" s="24"/>
    </row>
    <row r="21" customFormat="false" ht="22.35" hidden="false" customHeight="false" outlineLevel="0" collapsed="false">
      <c r="A21" s="21" t="s">
        <v>26</v>
      </c>
      <c r="B21" s="21" t="n">
        <v>6</v>
      </c>
      <c r="C21" s="21" t="str">
        <f aca="false">IF(ISBLANK(A21),"",A21&amp;"-"&amp;TEXT(B21,"000"))</f>
        <v>PRE-006</v>
      </c>
      <c r="D21" s="21" t="s">
        <v>118</v>
      </c>
      <c r="E21" s="22" t="s">
        <v>119</v>
      </c>
      <c r="F21" s="22" t="s">
        <v>120</v>
      </c>
      <c r="G21" s="21"/>
      <c r="H21" s="21" t="n">
        <v>1000000</v>
      </c>
      <c r="I21" s="21"/>
      <c r="J21" s="21" t="s">
        <v>109</v>
      </c>
      <c r="K21" s="23"/>
      <c r="L21" s="21" t="str">
        <f aca="false">IF(OR(ISBLANK(K21),AND(ISBLANK(H21),ISBLANK(I21))),"",IF(AND(IF(ISBLANK(H21),TRUE(),K21&gt;=H21),IF(ISBLANK(I21),TRUE(),K21&lt;=I21)),"Pass","Fail"))</f>
        <v/>
      </c>
      <c r="M21" s="23" t="s">
        <v>21</v>
      </c>
      <c r="N21" s="21" t="str">
        <f aca="false">IF(AND(M21&lt;&gt;"Not Run",M21&lt;&gt;""),M21,IF(L21&lt;&gt;"",L21,"Not Run"))</f>
        <v>Not Run</v>
      </c>
      <c r="O21" s="24"/>
    </row>
    <row r="22" customFormat="false" ht="15" hidden="false" customHeight="false" outlineLevel="0" collapsed="false">
      <c r="A22" s="21" t="s">
        <v>26</v>
      </c>
      <c r="B22" s="21" t="n">
        <v>7</v>
      </c>
      <c r="C22" s="21" t="str">
        <f aca="false">IF(ISBLANK(A22),"",A22&amp;"-"&amp;TEXT(B22,"000"))</f>
        <v>PRE-007</v>
      </c>
      <c r="D22" s="21" t="s">
        <v>121</v>
      </c>
      <c r="E22" s="22" t="s">
        <v>122</v>
      </c>
      <c r="F22" s="22" t="s">
        <v>123</v>
      </c>
      <c r="G22" s="21" t="n">
        <v>0.3</v>
      </c>
      <c r="H22" s="21" t="n">
        <v>0.15</v>
      </c>
      <c r="I22" s="21" t="n">
        <v>0.45</v>
      </c>
      <c r="J22" s="21" t="s">
        <v>124</v>
      </c>
      <c r="K22" s="23"/>
      <c r="L22" s="21" t="str">
        <f aca="false">IF(OR(ISBLANK(K22),AND(ISBLANK(H22),ISBLANK(I22))),"",IF(AND(IF(ISBLANK(H22),TRUE(),K22&gt;=H22),IF(ISBLANK(I22),TRUE(),K22&lt;=I22)),"Pass","Fail"))</f>
        <v/>
      </c>
      <c r="M22" s="23" t="s">
        <v>21</v>
      </c>
      <c r="N22" s="21" t="str">
        <f aca="false">IF(AND(M22&lt;&gt;"Not Run",M22&lt;&gt;""),M22,IF(L22&lt;&gt;"",L22,"Not Run"))</f>
        <v>Not Run</v>
      </c>
      <c r="O22" s="24"/>
    </row>
    <row r="23" customFormat="false" ht="15" hidden="false" customHeight="false" outlineLevel="0" collapsed="false">
      <c r="A23" s="21" t="s">
        <v>26</v>
      </c>
      <c r="B23" s="21" t="n">
        <v>8</v>
      </c>
      <c r="C23" s="21" t="str">
        <f aca="false">IF(ISBLANK(A23),"",A23&amp;"-"&amp;TEXT(B23,"000"))</f>
        <v>PRE-008</v>
      </c>
      <c r="D23" s="21" t="s">
        <v>125</v>
      </c>
      <c r="E23" s="22" t="s">
        <v>126</v>
      </c>
      <c r="F23" s="22" t="s">
        <v>127</v>
      </c>
      <c r="G23" s="21" t="n">
        <v>0.3</v>
      </c>
      <c r="H23" s="21" t="n">
        <v>0.15</v>
      </c>
      <c r="I23" s="21" t="n">
        <v>0.5</v>
      </c>
      <c r="J23" s="21" t="s">
        <v>124</v>
      </c>
      <c r="K23" s="23"/>
      <c r="L23" s="21" t="str">
        <f aca="false">IF(OR(ISBLANK(K23),AND(ISBLANK(H23),ISBLANK(I23))),"",IF(AND(IF(ISBLANK(H23),TRUE(),K23&gt;=H23),IF(ISBLANK(I23),TRUE(),K23&lt;=I23)),"Pass","Fail"))</f>
        <v/>
      </c>
      <c r="M23" s="23" t="s">
        <v>21</v>
      </c>
      <c r="N23" s="21" t="str">
        <f aca="false">IF(AND(M23&lt;&gt;"Not Run",M23&lt;&gt;""),M23,IF(L23&lt;&gt;"",L23,"Not Run"))</f>
        <v>Not Run</v>
      </c>
      <c r="O23" s="24"/>
    </row>
    <row r="24" customFormat="false" ht="15" hidden="false" customHeight="false" outlineLevel="0" collapsed="false">
      <c r="A24" s="21" t="s">
        <v>26</v>
      </c>
      <c r="B24" s="21" t="n">
        <v>9</v>
      </c>
      <c r="C24" s="21" t="str">
        <f aca="false">IF(ISBLANK(A24),"",A24&amp;"-"&amp;TEXT(B24,"000"))</f>
        <v>PRE-009</v>
      </c>
      <c r="D24" s="21" t="s">
        <v>128</v>
      </c>
      <c r="E24" s="22" t="s">
        <v>129</v>
      </c>
      <c r="F24" s="22" t="s">
        <v>130</v>
      </c>
      <c r="G24" s="21"/>
      <c r="H24" s="21"/>
      <c r="I24" s="21"/>
      <c r="J24" s="21"/>
      <c r="K24" s="23"/>
      <c r="L24" s="21" t="str">
        <f aca="false">IF(OR(ISBLANK(K24),AND(ISBLANK(H24),ISBLANK(I24))),"",IF(AND(IF(ISBLANK(H24),TRUE(),K24&gt;=H24),IF(ISBLANK(I24),TRUE(),K24&lt;=I24)),"Pass","Fail"))</f>
        <v/>
      </c>
      <c r="M24" s="23" t="s">
        <v>21</v>
      </c>
      <c r="N24" s="21" t="str">
        <f aca="false">IF(AND(M24&lt;&gt;"Not Run",M24&lt;&gt;""),M24,IF(L24&lt;&gt;"",L24,"Not Run"))</f>
        <v>Not Run</v>
      </c>
      <c r="O24" s="24"/>
    </row>
    <row r="25" customFormat="false" ht="15" hidden="false" customHeight="false" outlineLevel="0" collapsed="false">
      <c r="A25" s="21" t="s">
        <v>26</v>
      </c>
      <c r="B25" s="21" t="n">
        <v>10</v>
      </c>
      <c r="C25" s="21" t="str">
        <f aca="false">IF(ISBLANK(A25),"",A25&amp;"-"&amp;TEXT(B25,"000"))</f>
        <v>PRE-010</v>
      </c>
      <c r="D25" s="21" t="s">
        <v>131</v>
      </c>
      <c r="E25" s="22" t="s">
        <v>132</v>
      </c>
      <c r="F25" s="22" t="s">
        <v>133</v>
      </c>
      <c r="G25" s="21"/>
      <c r="H25" s="21" t="n">
        <v>1000000</v>
      </c>
      <c r="I25" s="21"/>
      <c r="J25" s="21" t="s">
        <v>109</v>
      </c>
      <c r="K25" s="23"/>
      <c r="L25" s="21" t="str">
        <f aca="false">IF(OR(ISBLANK(K25),AND(ISBLANK(H25),ISBLANK(I25))),"",IF(AND(IF(ISBLANK(H25),TRUE(),K25&gt;=H25),IF(ISBLANK(I25),TRUE(),K25&lt;=I25)),"Pass","Fail"))</f>
        <v/>
      </c>
      <c r="M25" s="23" t="s">
        <v>21</v>
      </c>
      <c r="N25" s="21" t="str">
        <f aca="false">IF(AND(M25&lt;&gt;"Not Run",M25&lt;&gt;""),M25,IF(L25&lt;&gt;"",L25,"Not Run"))</f>
        <v>Not Run</v>
      </c>
      <c r="O25" s="24"/>
    </row>
    <row r="26" customFormat="false" ht="22.35" hidden="false" customHeight="false" outlineLevel="0" collapsed="false">
      <c r="A26" s="21" t="s">
        <v>26</v>
      </c>
      <c r="B26" s="21" t="n">
        <v>11</v>
      </c>
      <c r="C26" s="21" t="str">
        <f aca="false">IF(ISBLANK(A26),"",A26&amp;"-"&amp;TEXT(B26,"000"))</f>
        <v>PRE-011</v>
      </c>
      <c r="D26" s="21" t="s">
        <v>134</v>
      </c>
      <c r="E26" s="22" t="s">
        <v>135</v>
      </c>
      <c r="F26" s="22" t="s">
        <v>136</v>
      </c>
      <c r="G26" s="21"/>
      <c r="H26" s="21"/>
      <c r="I26" s="21"/>
      <c r="J26" s="21"/>
      <c r="K26" s="23"/>
      <c r="L26" s="21" t="str">
        <f aca="false">IF(OR(ISBLANK(K26),AND(ISBLANK(H26),ISBLANK(I26))),"",IF(AND(IF(ISBLANK(H26),TRUE(),K26&gt;=H26),IF(ISBLANK(I26),TRUE(),K26&lt;=I26)),"Pass","Fail"))</f>
        <v/>
      </c>
      <c r="M26" s="23" t="s">
        <v>21</v>
      </c>
      <c r="N26" s="21" t="str">
        <f aca="false">IF(AND(M26&lt;&gt;"Not Run",M26&lt;&gt;""),M26,IF(L26&lt;&gt;"",L26,"Not Run"))</f>
        <v>Not Run</v>
      </c>
      <c r="O26" s="24"/>
    </row>
    <row r="27" customFormat="false" ht="22.35" hidden="false" customHeight="false" outlineLevel="0" collapsed="false">
      <c r="A27" s="21" t="s">
        <v>26</v>
      </c>
      <c r="B27" s="21" t="n">
        <v>12</v>
      </c>
      <c r="C27" s="21" t="str">
        <f aca="false">IF(ISBLANK(A27),"",A27&amp;"-"&amp;TEXT(B27,"000"))</f>
        <v>PRE-012</v>
      </c>
      <c r="D27" s="21" t="s">
        <v>137</v>
      </c>
      <c r="E27" s="22" t="s">
        <v>138</v>
      </c>
      <c r="F27" s="22" t="s">
        <v>139</v>
      </c>
      <c r="G27" s="21"/>
      <c r="H27" s="21"/>
      <c r="I27" s="21"/>
      <c r="J27" s="21"/>
      <c r="K27" s="23"/>
      <c r="L27" s="21" t="str">
        <f aca="false">IF(OR(ISBLANK(K27),AND(ISBLANK(H27),ISBLANK(I27))),"",IF(AND(IF(ISBLANK(H27),TRUE(),K27&gt;=H27),IF(ISBLANK(I27),TRUE(),K27&lt;=I27)),"Pass","Fail"))</f>
        <v/>
      </c>
      <c r="M27" s="23" t="s">
        <v>21</v>
      </c>
      <c r="N27" s="21" t="str">
        <f aca="false">IF(AND(M27&lt;&gt;"Not Run",M27&lt;&gt;""),M27,IF(L27&lt;&gt;"",L27,"Not Run"))</f>
        <v>Not Run</v>
      </c>
      <c r="O27" s="24"/>
    </row>
    <row r="28" customFormat="false" ht="22.35" hidden="false" customHeight="false" outlineLevel="0" collapsed="false">
      <c r="A28" s="21" t="s">
        <v>26</v>
      </c>
      <c r="B28" s="21" t="n">
        <v>13</v>
      </c>
      <c r="C28" s="21" t="str">
        <f aca="false">IF(ISBLANK(A28),"",A28&amp;"-"&amp;TEXT(B28,"000"))</f>
        <v>PRE-013</v>
      </c>
      <c r="D28" s="21" t="s">
        <v>140</v>
      </c>
      <c r="E28" s="22" t="s">
        <v>141</v>
      </c>
      <c r="F28" s="22" t="s">
        <v>142</v>
      </c>
      <c r="G28" s="21"/>
      <c r="H28" s="21"/>
      <c r="I28" s="21"/>
      <c r="J28" s="21"/>
      <c r="K28" s="23"/>
      <c r="L28" s="21" t="str">
        <f aca="false">IF(OR(ISBLANK(K28),AND(ISBLANK(H28),ISBLANK(I28))),"",IF(AND(IF(ISBLANK(H28),TRUE(),K28&gt;=H28),IF(ISBLANK(I28),TRUE(),K28&lt;=I28)),"Pass","Fail"))</f>
        <v/>
      </c>
      <c r="M28" s="23" t="s">
        <v>21</v>
      </c>
      <c r="N28" s="21" t="str">
        <f aca="false">IF(AND(M28&lt;&gt;"Not Run",M28&lt;&gt;""),M28,IF(L28&lt;&gt;"",L28,"Not Run"))</f>
        <v>Not Run</v>
      </c>
      <c r="O28" s="24"/>
    </row>
    <row r="29" customFormat="false" ht="22.35" hidden="false" customHeight="false" outlineLevel="0" collapsed="false">
      <c r="A29" s="21" t="s">
        <v>27</v>
      </c>
      <c r="B29" s="21" t="n">
        <v>1</v>
      </c>
      <c r="C29" s="21" t="str">
        <f aca="false">IF(ISBLANK(A29),"",A29&amp;"-"&amp;TEXT(B29,"000"))</f>
        <v>PWR-001</v>
      </c>
      <c r="D29" s="21" t="s">
        <v>143</v>
      </c>
      <c r="E29" s="22" t="s">
        <v>144</v>
      </c>
      <c r="F29" s="22" t="s">
        <v>145</v>
      </c>
      <c r="G29" s="21" t="n">
        <v>20</v>
      </c>
      <c r="H29" s="21" t="n">
        <v>2</v>
      </c>
      <c r="I29" s="21" t="n">
        <v>60</v>
      </c>
      <c r="J29" s="21" t="s">
        <v>146</v>
      </c>
      <c r="K29" s="23"/>
      <c r="L29" s="21" t="str">
        <f aca="false">IF(OR(ISBLANK(K29),AND(ISBLANK(H29),ISBLANK(I29))),"",IF(AND(IF(ISBLANK(H29),TRUE(),K29&gt;=H29),IF(ISBLANK(I29),TRUE(),K29&lt;=I29)),"Pass","Fail"))</f>
        <v/>
      </c>
      <c r="M29" s="23" t="s">
        <v>21</v>
      </c>
      <c r="N29" s="21" t="str">
        <f aca="false">IF(AND(M29&lt;&gt;"Not Run",M29&lt;&gt;""),M29,IF(L29&lt;&gt;"",L29,"Not Run"))</f>
        <v>Not Run</v>
      </c>
      <c r="O29" s="24"/>
    </row>
    <row r="30" customFormat="false" ht="15" hidden="false" customHeight="false" outlineLevel="0" collapsed="false">
      <c r="A30" s="21" t="s">
        <v>27</v>
      </c>
      <c r="B30" s="21" t="n">
        <v>2</v>
      </c>
      <c r="C30" s="21" t="str">
        <f aca="false">IF(ISBLANK(A30),"",A30&amp;"-"&amp;TEXT(B30,"000"))</f>
        <v>PWR-002</v>
      </c>
      <c r="D30" s="21" t="s">
        <v>147</v>
      </c>
      <c r="E30" s="22" t="s">
        <v>148</v>
      </c>
      <c r="F30" s="22" t="s">
        <v>149</v>
      </c>
      <c r="G30" s="21"/>
      <c r="H30" s="21"/>
      <c r="I30" s="21"/>
      <c r="J30" s="21"/>
      <c r="K30" s="23"/>
      <c r="L30" s="21" t="str">
        <f aca="false">IF(OR(ISBLANK(K30),AND(ISBLANK(H30),ISBLANK(I30))),"",IF(AND(IF(ISBLANK(H30),TRUE(),K30&gt;=H30),IF(ISBLANK(I30),TRUE(),K30&lt;=I30)),"Pass","Fail"))</f>
        <v/>
      </c>
      <c r="M30" s="23" t="s">
        <v>21</v>
      </c>
      <c r="N30" s="21" t="str">
        <f aca="false">IF(AND(M30&lt;&gt;"Not Run",M30&lt;&gt;""),M30,IF(L30&lt;&gt;"",L30,"Not Run"))</f>
        <v>Not Run</v>
      </c>
      <c r="O30" s="24"/>
    </row>
    <row r="31" customFormat="false" ht="15" hidden="false" customHeight="false" outlineLevel="0" collapsed="false">
      <c r="A31" s="21" t="s">
        <v>27</v>
      </c>
      <c r="B31" s="21" t="n">
        <v>3</v>
      </c>
      <c r="C31" s="21" t="str">
        <f aca="false">IF(ISBLANK(A31),"",A31&amp;"-"&amp;TEXT(B31,"000"))</f>
        <v>PWR-003</v>
      </c>
      <c r="D31" s="21" t="s">
        <v>150</v>
      </c>
      <c r="E31" s="22" t="s">
        <v>151</v>
      </c>
      <c r="F31" s="22" t="s">
        <v>152</v>
      </c>
      <c r="G31" s="21" t="n">
        <v>4.6</v>
      </c>
      <c r="H31" s="21" t="n">
        <v>4.3</v>
      </c>
      <c r="I31" s="21" t="n">
        <v>4.9</v>
      </c>
      <c r="J31" s="21" t="s">
        <v>124</v>
      </c>
      <c r="K31" s="23"/>
      <c r="L31" s="21" t="str">
        <f aca="false">IF(OR(ISBLANK(K31),AND(ISBLANK(H31),ISBLANK(I31))),"",IF(AND(IF(ISBLANK(H31),TRUE(),K31&gt;=H31),IF(ISBLANK(I31),TRUE(),K31&lt;=I31)),"Pass","Fail"))</f>
        <v/>
      </c>
      <c r="M31" s="23" t="s">
        <v>21</v>
      </c>
      <c r="N31" s="21" t="str">
        <f aca="false">IF(AND(M31&lt;&gt;"Not Run",M31&lt;&gt;""),M31,IF(L31&lt;&gt;"",L31,"Not Run"))</f>
        <v>Not Run</v>
      </c>
      <c r="O31" s="24"/>
    </row>
    <row r="32" customFormat="false" ht="15" hidden="false" customHeight="false" outlineLevel="0" collapsed="false">
      <c r="A32" s="21" t="s">
        <v>27</v>
      </c>
      <c r="B32" s="21" t="n">
        <v>4</v>
      </c>
      <c r="C32" s="21" t="str">
        <f aca="false">IF(ISBLANK(A32),"",A32&amp;"-"&amp;TEXT(B32,"000"))</f>
        <v>PWR-004</v>
      </c>
      <c r="D32" s="21" t="s">
        <v>153</v>
      </c>
      <c r="E32" s="22" t="s">
        <v>154</v>
      </c>
      <c r="F32" s="22" t="s">
        <v>155</v>
      </c>
      <c r="G32" s="21" t="n">
        <v>3.3</v>
      </c>
      <c r="H32" s="21" t="n">
        <v>3.2</v>
      </c>
      <c r="I32" s="21" t="n">
        <v>3.4</v>
      </c>
      <c r="J32" s="21" t="s">
        <v>124</v>
      </c>
      <c r="K32" s="23"/>
      <c r="L32" s="21" t="str">
        <f aca="false">IF(OR(ISBLANK(K32),AND(ISBLANK(H32),ISBLANK(I32))),"",IF(AND(IF(ISBLANK(H32),TRUE(),K32&gt;=H32),IF(ISBLANK(I32),TRUE(),K32&lt;=I32)),"Pass","Fail"))</f>
        <v/>
      </c>
      <c r="M32" s="23" t="s">
        <v>21</v>
      </c>
      <c r="N32" s="21" t="str">
        <f aca="false">IF(AND(M32&lt;&gt;"Not Run",M32&lt;&gt;""),M32,IF(L32&lt;&gt;"",L32,"Not Run"))</f>
        <v>Not Run</v>
      </c>
      <c r="O32" s="24"/>
    </row>
    <row r="33" customFormat="false" ht="15" hidden="false" customHeight="false" outlineLevel="0" collapsed="false">
      <c r="A33" s="21" t="s">
        <v>27</v>
      </c>
      <c r="B33" s="21" t="n">
        <v>5</v>
      </c>
      <c r="C33" s="21" t="str">
        <f aca="false">IF(ISBLANK(A33),"",A33&amp;"-"&amp;TEXT(B33,"000"))</f>
        <v>PWR-005</v>
      </c>
      <c r="D33" s="21" t="s">
        <v>156</v>
      </c>
      <c r="E33" s="22" t="s">
        <v>157</v>
      </c>
      <c r="F33" s="22" t="s">
        <v>155</v>
      </c>
      <c r="G33" s="21" t="n">
        <v>3.3</v>
      </c>
      <c r="H33" s="21" t="n">
        <v>3.2</v>
      </c>
      <c r="I33" s="21" t="n">
        <v>3.4</v>
      </c>
      <c r="J33" s="21" t="s">
        <v>124</v>
      </c>
      <c r="K33" s="23"/>
      <c r="L33" s="21" t="str">
        <f aca="false">IF(OR(ISBLANK(K33),AND(ISBLANK(H33),ISBLANK(I33))),"",IF(AND(IF(ISBLANK(H33),TRUE(),K33&gt;=H33),IF(ISBLANK(I33),TRUE(),K33&lt;=I33)),"Pass","Fail"))</f>
        <v/>
      </c>
      <c r="M33" s="23" t="s">
        <v>21</v>
      </c>
      <c r="N33" s="21" t="str">
        <f aca="false">IF(AND(M33&lt;&gt;"Not Run",M33&lt;&gt;""),M33,IF(L33&lt;&gt;"",L33,"Not Run"))</f>
        <v>Not Run</v>
      </c>
      <c r="O33" s="24"/>
    </row>
    <row r="34" customFormat="false" ht="15" hidden="false" customHeight="false" outlineLevel="0" collapsed="false">
      <c r="A34" s="21" t="s">
        <v>27</v>
      </c>
      <c r="B34" s="21" t="n">
        <v>6</v>
      </c>
      <c r="C34" s="21" t="str">
        <f aca="false">IF(ISBLANK(A34),"",A34&amp;"-"&amp;TEXT(B34,"000"))</f>
        <v>PWR-006</v>
      </c>
      <c r="D34" s="21" t="s">
        <v>158</v>
      </c>
      <c r="E34" s="22" t="s">
        <v>159</v>
      </c>
      <c r="F34" s="22" t="s">
        <v>160</v>
      </c>
      <c r="G34" s="21"/>
      <c r="H34" s="21"/>
      <c r="I34" s="21" t="n">
        <v>5</v>
      </c>
      <c r="J34" s="21" t="s">
        <v>161</v>
      </c>
      <c r="K34" s="23"/>
      <c r="L34" s="21" t="str">
        <f aca="false">IF(OR(ISBLANK(K34),AND(ISBLANK(H34),ISBLANK(I34))),"",IF(AND(IF(ISBLANK(H34),TRUE(),K34&gt;=H34),IF(ISBLANK(I34),TRUE(),K34&lt;=I34)),"Pass","Fail"))</f>
        <v/>
      </c>
      <c r="M34" s="23" t="s">
        <v>21</v>
      </c>
      <c r="N34" s="21" t="str">
        <f aca="false">IF(AND(M34&lt;&gt;"Not Run",M34&lt;&gt;""),M34,IF(L34&lt;&gt;"",L34,"Not Run"))</f>
        <v>Not Run</v>
      </c>
      <c r="O34" s="24"/>
    </row>
    <row r="35" customFormat="false" ht="22.35" hidden="false" customHeight="false" outlineLevel="0" collapsed="false">
      <c r="A35" s="21" t="s">
        <v>27</v>
      </c>
      <c r="B35" s="21" t="n">
        <v>7</v>
      </c>
      <c r="C35" s="21" t="str">
        <f aca="false">IF(ISBLANK(A35),"",A35&amp;"-"&amp;TEXT(B35,"000"))</f>
        <v>PWR-007</v>
      </c>
      <c r="D35" s="21" t="s">
        <v>162</v>
      </c>
      <c r="E35" s="22" t="s">
        <v>163</v>
      </c>
      <c r="F35" s="22" t="s">
        <v>164</v>
      </c>
      <c r="G35" s="21" t="n">
        <v>5</v>
      </c>
      <c r="H35" s="21" t="n">
        <v>4.75</v>
      </c>
      <c r="I35" s="21" t="n">
        <v>5.25</v>
      </c>
      <c r="J35" s="21" t="s">
        <v>124</v>
      </c>
      <c r="K35" s="23"/>
      <c r="L35" s="21" t="str">
        <f aca="false">IF(OR(ISBLANK(K35),AND(ISBLANK(H35),ISBLANK(I35))),"",IF(AND(IF(ISBLANK(H35),TRUE(),K35&gt;=H35),IF(ISBLANK(I35),TRUE(),K35&lt;=I35)),"Pass","Fail"))</f>
        <v/>
      </c>
      <c r="M35" s="23" t="s">
        <v>21</v>
      </c>
      <c r="N35" s="21" t="str">
        <f aca="false">IF(AND(M35&lt;&gt;"Not Run",M35&lt;&gt;""),M35,IF(L35&lt;&gt;"",L35,"Not Run"))</f>
        <v>Not Run</v>
      </c>
      <c r="O35" s="24"/>
    </row>
    <row r="36" customFormat="false" ht="15" hidden="false" customHeight="false" outlineLevel="0" collapsed="false">
      <c r="A36" s="21" t="s">
        <v>27</v>
      </c>
      <c r="B36" s="21" t="n">
        <v>8</v>
      </c>
      <c r="C36" s="21" t="str">
        <f aca="false">IF(ISBLANK(A36),"",A36&amp;"-"&amp;TEXT(B36,"000"))</f>
        <v>PWR-008</v>
      </c>
      <c r="D36" s="21" t="s">
        <v>165</v>
      </c>
      <c r="E36" s="22" t="s">
        <v>166</v>
      </c>
      <c r="F36" s="22" t="s">
        <v>99</v>
      </c>
      <c r="G36" s="21"/>
      <c r="H36" s="21" t="n">
        <v>5</v>
      </c>
      <c r="I36" s="21" t="n">
        <v>100</v>
      </c>
      <c r="J36" s="21" t="s">
        <v>146</v>
      </c>
      <c r="K36" s="23"/>
      <c r="L36" s="21" t="str">
        <f aca="false">IF(OR(ISBLANK(K36),AND(ISBLANK(H36),ISBLANK(I36))),"",IF(AND(IF(ISBLANK(H36),TRUE(),K36&gt;=H36),IF(ISBLANK(I36),TRUE(),K36&lt;=I36)),"Pass","Fail"))</f>
        <v/>
      </c>
      <c r="M36" s="23" t="s">
        <v>21</v>
      </c>
      <c r="N36" s="21" t="str">
        <f aca="false">IF(AND(M36&lt;&gt;"Not Run",M36&lt;&gt;""),M36,IF(L36&lt;&gt;"",L36,"Not Run"))</f>
        <v>Not Run</v>
      </c>
      <c r="O36" s="24"/>
    </row>
    <row r="37" customFormat="false" ht="22.35" hidden="false" customHeight="false" outlineLevel="0" collapsed="false">
      <c r="A37" s="21" t="s">
        <v>27</v>
      </c>
      <c r="B37" s="21" t="n">
        <v>9</v>
      </c>
      <c r="C37" s="21" t="str">
        <f aca="false">IF(ISBLANK(A37),"",A37&amp;"-"&amp;TEXT(B37,"000"))</f>
        <v>PWR-009</v>
      </c>
      <c r="D37" s="21" t="s">
        <v>167</v>
      </c>
      <c r="E37" s="22" t="s">
        <v>168</v>
      </c>
      <c r="F37" s="22" t="s">
        <v>169</v>
      </c>
      <c r="G37" s="21"/>
      <c r="H37" s="21"/>
      <c r="I37" s="21"/>
      <c r="J37" s="21"/>
      <c r="K37" s="23"/>
      <c r="L37" s="21" t="str">
        <f aca="false">IF(OR(ISBLANK(K37),AND(ISBLANK(H37),ISBLANK(I37))),"",IF(AND(IF(ISBLANK(H37),TRUE(),K37&gt;=H37),IF(ISBLANK(I37),TRUE(),K37&lt;=I37)),"Pass","Fail"))</f>
        <v/>
      </c>
      <c r="M37" s="23" t="s">
        <v>21</v>
      </c>
      <c r="N37" s="21" t="str">
        <f aca="false">IF(AND(M37&lt;&gt;"Not Run",M37&lt;&gt;""),M37,IF(L37&lt;&gt;"",L37,"Not Run"))</f>
        <v>Not Run</v>
      </c>
      <c r="O37" s="24"/>
    </row>
    <row r="38" customFormat="false" ht="22.35" hidden="false" customHeight="false" outlineLevel="0" collapsed="false">
      <c r="A38" s="21" t="s">
        <v>27</v>
      </c>
      <c r="B38" s="21" t="n">
        <v>10</v>
      </c>
      <c r="C38" s="21" t="str">
        <f aca="false">IF(ISBLANK(A38),"",A38&amp;"-"&amp;TEXT(B38,"000"))</f>
        <v>PWR-010</v>
      </c>
      <c r="D38" s="21" t="s">
        <v>170</v>
      </c>
      <c r="E38" s="22" t="s">
        <v>171</v>
      </c>
      <c r="F38" s="22" t="s">
        <v>172</v>
      </c>
      <c r="G38" s="21"/>
      <c r="H38" s="21"/>
      <c r="I38" s="21"/>
      <c r="J38" s="21"/>
      <c r="K38" s="23"/>
      <c r="L38" s="21" t="str">
        <f aca="false">IF(OR(ISBLANK(K38),AND(ISBLANK(H38),ISBLANK(I38))),"",IF(AND(IF(ISBLANK(H38),TRUE(),K38&gt;=H38),IF(ISBLANK(I38),TRUE(),K38&lt;=I38)),"Pass","Fail"))</f>
        <v/>
      </c>
      <c r="M38" s="23" t="s">
        <v>21</v>
      </c>
      <c r="N38" s="21" t="str">
        <f aca="false">IF(AND(M38&lt;&gt;"Not Run",M38&lt;&gt;""),M38,IF(L38&lt;&gt;"",L38,"Not Run"))</f>
        <v>Not Run</v>
      </c>
      <c r="O38" s="24"/>
    </row>
    <row r="39" customFormat="false" ht="15" hidden="false" customHeight="false" outlineLevel="0" collapsed="false">
      <c r="A39" s="21" t="s">
        <v>27</v>
      </c>
      <c r="B39" s="21" t="n">
        <v>11</v>
      </c>
      <c r="C39" s="21" t="str">
        <f aca="false">IF(ISBLANK(A39),"",A39&amp;"-"&amp;TEXT(B39,"000"))</f>
        <v>PWR-011</v>
      </c>
      <c r="D39" s="21" t="s">
        <v>173</v>
      </c>
      <c r="E39" s="22" t="s">
        <v>174</v>
      </c>
      <c r="F39" s="22" t="s">
        <v>175</v>
      </c>
      <c r="G39" s="21"/>
      <c r="H39" s="21"/>
      <c r="I39" s="21"/>
      <c r="J39" s="21"/>
      <c r="K39" s="23"/>
      <c r="L39" s="21" t="str">
        <f aca="false">IF(OR(ISBLANK(K39),AND(ISBLANK(H39),ISBLANK(I39))),"",IF(AND(IF(ISBLANK(H39),TRUE(),K39&gt;=H39),IF(ISBLANK(I39),TRUE(),K39&lt;=I39)),"Pass","Fail"))</f>
        <v/>
      </c>
      <c r="M39" s="23" t="s">
        <v>21</v>
      </c>
      <c r="N39" s="21" t="str">
        <f aca="false">IF(AND(M39&lt;&gt;"Not Run",M39&lt;&gt;""),M39,IF(L39&lt;&gt;"",L39,"Not Run"))</f>
        <v>Not Run</v>
      </c>
      <c r="O39" s="24"/>
    </row>
    <row r="40" customFormat="false" ht="22.35" hidden="false" customHeight="false" outlineLevel="0" collapsed="false">
      <c r="A40" s="21" t="s">
        <v>27</v>
      </c>
      <c r="B40" s="21" t="n">
        <v>12</v>
      </c>
      <c r="C40" s="21" t="str">
        <f aca="false">IF(ISBLANK(A40),"",A40&amp;"-"&amp;TEXT(B40,"000"))</f>
        <v>PWR-012</v>
      </c>
      <c r="D40" s="21" t="s">
        <v>176</v>
      </c>
      <c r="E40" s="22" t="s">
        <v>177</v>
      </c>
      <c r="F40" s="22" t="s">
        <v>178</v>
      </c>
      <c r="G40" s="21"/>
      <c r="H40" s="21"/>
      <c r="I40" s="21" t="n">
        <v>0.5</v>
      </c>
      <c r="J40" s="21" t="s">
        <v>124</v>
      </c>
      <c r="K40" s="23"/>
      <c r="L40" s="21" t="str">
        <f aca="false">IF(OR(ISBLANK(K40),AND(ISBLANK(H40),ISBLANK(I40))),"",IF(AND(IF(ISBLANK(H40),TRUE(),K40&gt;=H40),IF(ISBLANK(I40),TRUE(),K40&lt;=I40)),"Pass","Fail"))</f>
        <v/>
      </c>
      <c r="M40" s="23" t="s">
        <v>21</v>
      </c>
      <c r="N40" s="21" t="str">
        <f aca="false">IF(AND(M40&lt;&gt;"Not Run",M40&lt;&gt;""),M40,IF(L40&lt;&gt;"",L40,"Not Run"))</f>
        <v>Not Run</v>
      </c>
      <c r="O40" s="24"/>
    </row>
    <row r="41" customFormat="false" ht="15" hidden="false" customHeight="false" outlineLevel="0" collapsed="false">
      <c r="A41" s="21" t="s">
        <v>27</v>
      </c>
      <c r="B41" s="21" t="n">
        <v>13</v>
      </c>
      <c r="C41" s="21" t="str">
        <f aca="false">IF(ISBLANK(A41),"",A41&amp;"-"&amp;TEXT(B41,"000"))</f>
        <v>PWR-013</v>
      </c>
      <c r="D41" s="21" t="s">
        <v>179</v>
      </c>
      <c r="E41" s="22" t="s">
        <v>180</v>
      </c>
      <c r="F41" s="22" t="s">
        <v>181</v>
      </c>
      <c r="G41" s="21"/>
      <c r="H41" s="21"/>
      <c r="I41" s="21" t="n">
        <v>30</v>
      </c>
      <c r="J41" s="21" t="s">
        <v>182</v>
      </c>
      <c r="K41" s="23"/>
      <c r="L41" s="21" t="str">
        <f aca="false">IF(OR(ISBLANK(K41),AND(ISBLANK(H41),ISBLANK(I41))),"",IF(AND(IF(ISBLANK(H41),TRUE(),K41&gt;=H41),IF(ISBLANK(I41),TRUE(),K41&lt;=I41)),"Pass","Fail"))</f>
        <v/>
      </c>
      <c r="M41" s="23" t="s">
        <v>21</v>
      </c>
      <c r="N41" s="21" t="str">
        <f aca="false">IF(AND(M41&lt;&gt;"Not Run",M41&lt;&gt;""),M41,IF(L41&lt;&gt;"",L41,"Not Run"))</f>
        <v>Not Run</v>
      </c>
      <c r="O41" s="24"/>
    </row>
    <row r="42" customFormat="false" ht="22.35" hidden="false" customHeight="false" outlineLevel="0" collapsed="false">
      <c r="A42" s="21" t="s">
        <v>27</v>
      </c>
      <c r="B42" s="21" t="n">
        <v>14</v>
      </c>
      <c r="C42" s="21" t="str">
        <f aca="false">IF(ISBLANK(A42),"",A42&amp;"-"&amp;TEXT(B42,"000"))</f>
        <v>PWR-014</v>
      </c>
      <c r="D42" s="21" t="s">
        <v>183</v>
      </c>
      <c r="E42" s="22" t="s">
        <v>184</v>
      </c>
      <c r="F42" s="22" t="s">
        <v>185</v>
      </c>
      <c r="G42" s="21"/>
      <c r="H42" s="21"/>
      <c r="I42" s="21"/>
      <c r="J42" s="21"/>
      <c r="K42" s="23"/>
      <c r="L42" s="21" t="str">
        <f aca="false">IF(OR(ISBLANK(K42),AND(ISBLANK(H42),ISBLANK(I42))),"",IF(AND(IF(ISBLANK(H42),TRUE(),K42&gt;=H42),IF(ISBLANK(I42),TRUE(),K42&lt;=I42)),"Pass","Fail"))</f>
        <v/>
      </c>
      <c r="M42" s="23" t="s">
        <v>21</v>
      </c>
      <c r="N42" s="21" t="str">
        <f aca="false">IF(AND(M42&lt;&gt;"Not Run",M42&lt;&gt;""),M42,IF(L42&lt;&gt;"",L42,"Not Run"))</f>
        <v>Not Run</v>
      </c>
      <c r="O42" s="24"/>
    </row>
    <row r="43" customFormat="false" ht="15" hidden="false" customHeight="false" outlineLevel="0" collapsed="false">
      <c r="A43" s="21" t="s">
        <v>29</v>
      </c>
      <c r="B43" s="21" t="n">
        <v>1</v>
      </c>
      <c r="C43" s="21" t="str">
        <f aca="false">IF(ISBLANK(A43),"",A43&amp;"-"&amp;TEXT(B43,"000"))</f>
        <v>CHG-001</v>
      </c>
      <c r="D43" s="21" t="s">
        <v>186</v>
      </c>
      <c r="E43" s="22" t="s">
        <v>187</v>
      </c>
      <c r="F43" s="22" t="s">
        <v>175</v>
      </c>
      <c r="G43" s="21"/>
      <c r="H43" s="21"/>
      <c r="I43" s="21"/>
      <c r="J43" s="21"/>
      <c r="K43" s="23"/>
      <c r="L43" s="21" t="str">
        <f aca="false">IF(OR(ISBLANK(K43),AND(ISBLANK(H43),ISBLANK(I43))),"",IF(AND(IF(ISBLANK(H43),TRUE(),K43&gt;=H43),IF(ISBLANK(I43),TRUE(),K43&lt;=I43)),"Pass","Fail"))</f>
        <v/>
      </c>
      <c r="M43" s="23" t="s">
        <v>21</v>
      </c>
      <c r="N43" s="21" t="str">
        <f aca="false">IF(AND(M43&lt;&gt;"Not Run",M43&lt;&gt;""),M43,IF(L43&lt;&gt;"",L43,"Not Run"))</f>
        <v>Not Run</v>
      </c>
      <c r="O43" s="24"/>
    </row>
    <row r="44" customFormat="false" ht="22.35" hidden="false" customHeight="false" outlineLevel="0" collapsed="false">
      <c r="A44" s="21" t="s">
        <v>29</v>
      </c>
      <c r="B44" s="21" t="n">
        <v>2</v>
      </c>
      <c r="C44" s="21" t="str">
        <f aca="false">IF(ISBLANK(A44),"",A44&amp;"-"&amp;TEXT(B44,"000"))</f>
        <v>CHG-002</v>
      </c>
      <c r="D44" s="21" t="s">
        <v>188</v>
      </c>
      <c r="E44" s="22" t="s">
        <v>189</v>
      </c>
      <c r="F44" s="22" t="s">
        <v>190</v>
      </c>
      <c r="G44" s="21" t="n">
        <v>196</v>
      </c>
      <c r="H44" s="21" t="n">
        <v>150</v>
      </c>
      <c r="I44" s="21" t="n">
        <v>215</v>
      </c>
      <c r="J44" s="21" t="s">
        <v>146</v>
      </c>
      <c r="K44" s="23"/>
      <c r="L44" s="21" t="str">
        <f aca="false">IF(OR(ISBLANK(K44),AND(ISBLANK(H44),ISBLANK(I44))),"",IF(AND(IF(ISBLANK(H44),TRUE(),K44&gt;=H44),IF(ISBLANK(I44),TRUE(),K44&lt;=I44)),"Pass","Fail"))</f>
        <v/>
      </c>
      <c r="M44" s="23" t="s">
        <v>21</v>
      </c>
      <c r="N44" s="21" t="str">
        <f aca="false">IF(AND(M44&lt;&gt;"Not Run",M44&lt;&gt;""),M44,IF(L44&lt;&gt;"",L44,"Not Run"))</f>
        <v>Not Run</v>
      </c>
      <c r="O44" s="24"/>
    </row>
    <row r="45" customFormat="false" ht="15" hidden="false" customHeight="false" outlineLevel="0" collapsed="false">
      <c r="A45" s="21" t="s">
        <v>29</v>
      </c>
      <c r="B45" s="21" t="n">
        <v>3</v>
      </c>
      <c r="C45" s="21" t="str">
        <f aca="false">IF(ISBLANK(A45),"",A45&amp;"-"&amp;TEXT(B45,"000"))</f>
        <v>CHG-003</v>
      </c>
      <c r="D45" s="21" t="s">
        <v>191</v>
      </c>
      <c r="E45" s="22" t="s">
        <v>192</v>
      </c>
      <c r="F45" s="22" t="s">
        <v>193</v>
      </c>
      <c r="G45" s="21" t="n">
        <v>4.2</v>
      </c>
      <c r="H45" s="21" t="n">
        <v>4.15</v>
      </c>
      <c r="I45" s="21" t="n">
        <v>4.25</v>
      </c>
      <c r="J45" s="21" t="s">
        <v>124</v>
      </c>
      <c r="K45" s="23"/>
      <c r="L45" s="21" t="str">
        <f aca="false">IF(OR(ISBLANK(K45),AND(ISBLANK(H45),ISBLANK(I45))),"",IF(AND(IF(ISBLANK(H45),TRUE(),K45&gt;=H45),IF(ISBLANK(I45),TRUE(),K45&lt;=I45)),"Pass","Fail"))</f>
        <v/>
      </c>
      <c r="M45" s="23" t="s">
        <v>21</v>
      </c>
      <c r="N45" s="21" t="str">
        <f aca="false">IF(AND(M45&lt;&gt;"Not Run",M45&lt;&gt;""),M45,IF(L45&lt;&gt;"",L45,"Not Run"))</f>
        <v>Not Run</v>
      </c>
      <c r="O45" s="24"/>
    </row>
    <row r="46" customFormat="false" ht="15" hidden="false" customHeight="false" outlineLevel="0" collapsed="false">
      <c r="A46" s="21" t="s">
        <v>29</v>
      </c>
      <c r="B46" s="21" t="n">
        <v>4</v>
      </c>
      <c r="C46" s="21" t="str">
        <f aca="false">IF(ISBLANK(A46),"",A46&amp;"-"&amp;TEXT(B46,"000"))</f>
        <v>CHG-004</v>
      </c>
      <c r="D46" s="21" t="s">
        <v>194</v>
      </c>
      <c r="E46" s="22" t="s">
        <v>195</v>
      </c>
      <c r="F46" s="22" t="s">
        <v>196</v>
      </c>
      <c r="G46" s="21"/>
      <c r="H46" s="21"/>
      <c r="I46" s="21" t="n">
        <v>70</v>
      </c>
      <c r="J46" s="21" t="s">
        <v>197</v>
      </c>
      <c r="K46" s="23"/>
      <c r="L46" s="21" t="str">
        <f aca="false">IF(OR(ISBLANK(K46),AND(ISBLANK(H46),ISBLANK(I46))),"",IF(AND(IF(ISBLANK(H46),TRUE(),K46&gt;=H46),IF(ISBLANK(I46),TRUE(),K46&lt;=I46)),"Pass","Fail"))</f>
        <v/>
      </c>
      <c r="M46" s="23" t="s">
        <v>21</v>
      </c>
      <c r="N46" s="21" t="str">
        <f aca="false">IF(AND(M46&lt;&gt;"Not Run",M46&lt;&gt;""),M46,IF(L46&lt;&gt;"",L46,"Not Run"))</f>
        <v>Not Run</v>
      </c>
      <c r="O46" s="24"/>
    </row>
    <row r="47" customFormat="false" ht="22.35" hidden="false" customHeight="false" outlineLevel="0" collapsed="false">
      <c r="A47" s="21" t="s">
        <v>29</v>
      </c>
      <c r="B47" s="21" t="n">
        <v>5</v>
      </c>
      <c r="C47" s="21" t="str">
        <f aca="false">IF(ISBLANK(A47),"",A47&amp;"-"&amp;TEXT(B47,"000"))</f>
        <v>CHG-005</v>
      </c>
      <c r="D47" s="21" t="s">
        <v>198</v>
      </c>
      <c r="E47" s="22" t="s">
        <v>199</v>
      </c>
      <c r="F47" s="22" t="s">
        <v>200</v>
      </c>
      <c r="G47" s="21"/>
      <c r="H47" s="21"/>
      <c r="I47" s="21"/>
      <c r="J47" s="21"/>
      <c r="K47" s="23"/>
      <c r="L47" s="21" t="str">
        <f aca="false">IF(OR(ISBLANK(K47),AND(ISBLANK(H47),ISBLANK(I47))),"",IF(AND(IF(ISBLANK(H47),TRUE(),K47&gt;=H47),IF(ISBLANK(I47),TRUE(),K47&lt;=I47)),"Pass","Fail"))</f>
        <v/>
      </c>
      <c r="M47" s="23" t="s">
        <v>21</v>
      </c>
      <c r="N47" s="21" t="str">
        <f aca="false">IF(AND(M47&lt;&gt;"Not Run",M47&lt;&gt;""),M47,IF(L47&lt;&gt;"",L47,"Not Run"))</f>
        <v>Not Run</v>
      </c>
      <c r="O47" s="24"/>
    </row>
    <row r="48" customFormat="false" ht="22.35" hidden="false" customHeight="false" outlineLevel="0" collapsed="false">
      <c r="A48" s="21" t="s">
        <v>29</v>
      </c>
      <c r="B48" s="21" t="n">
        <v>6</v>
      </c>
      <c r="C48" s="21" t="str">
        <f aca="false">IF(ISBLANK(A48),"",A48&amp;"-"&amp;TEXT(B48,"000"))</f>
        <v>CHG-006</v>
      </c>
      <c r="D48" s="21" t="s">
        <v>201</v>
      </c>
      <c r="E48" s="22" t="s">
        <v>202</v>
      </c>
      <c r="F48" s="22" t="s">
        <v>203</v>
      </c>
      <c r="G48" s="21"/>
      <c r="H48" s="21"/>
      <c r="I48" s="21"/>
      <c r="J48" s="21"/>
      <c r="K48" s="23"/>
      <c r="L48" s="21" t="str">
        <f aca="false">IF(OR(ISBLANK(K48),AND(ISBLANK(H48),ISBLANK(I48))),"",IF(AND(IF(ISBLANK(H48),TRUE(),K48&gt;=H48),IF(ISBLANK(I48),TRUE(),K48&lt;=I48)),"Pass","Fail"))</f>
        <v/>
      </c>
      <c r="M48" s="23" t="s">
        <v>21</v>
      </c>
      <c r="N48" s="21" t="str">
        <f aca="false">IF(AND(M48&lt;&gt;"Not Run",M48&lt;&gt;""),M48,IF(L48&lt;&gt;"",L48,"Not Run"))</f>
        <v>Not Run</v>
      </c>
      <c r="O48" s="24"/>
    </row>
    <row r="49" customFormat="false" ht="22.35" hidden="false" customHeight="false" outlineLevel="0" collapsed="false">
      <c r="A49" s="21" t="s">
        <v>30</v>
      </c>
      <c r="B49" s="21" t="n">
        <v>1</v>
      </c>
      <c r="C49" s="21" t="str">
        <f aca="false">IF(ISBLANK(A49),"",A49&amp;"-"&amp;TEXT(B49,"000"))</f>
        <v>BAT-001</v>
      </c>
      <c r="D49" s="21" t="s">
        <v>204</v>
      </c>
      <c r="E49" s="22" t="s">
        <v>205</v>
      </c>
      <c r="F49" s="22" t="s">
        <v>206</v>
      </c>
      <c r="G49" s="21" t="n">
        <v>0</v>
      </c>
      <c r="H49" s="21"/>
      <c r="I49" s="21" t="n">
        <v>1</v>
      </c>
      <c r="J49" s="21" t="s">
        <v>146</v>
      </c>
      <c r="K49" s="23"/>
      <c r="L49" s="21" t="str">
        <f aca="false">IF(OR(ISBLANK(K49),AND(ISBLANK(H49),ISBLANK(I49))),"",IF(AND(IF(ISBLANK(H49),TRUE(),K49&gt;=H49),IF(ISBLANK(I49),TRUE(),K49&lt;=I49)),"Pass","Fail"))</f>
        <v/>
      </c>
      <c r="M49" s="23" t="s">
        <v>21</v>
      </c>
      <c r="N49" s="21" t="str">
        <f aca="false">IF(AND(M49&lt;&gt;"Not Run",M49&lt;&gt;""),M49,IF(L49&lt;&gt;"",L49,"Not Run"))</f>
        <v>Not Run</v>
      </c>
      <c r="O49" s="24"/>
    </row>
    <row r="50" customFormat="false" ht="22.35" hidden="false" customHeight="false" outlineLevel="0" collapsed="false">
      <c r="A50" s="21" t="s">
        <v>30</v>
      </c>
      <c r="B50" s="21" t="n">
        <v>2</v>
      </c>
      <c r="C50" s="21" t="str">
        <f aca="false">IF(ISBLANK(A50),"",A50&amp;"-"&amp;TEXT(B50,"000"))</f>
        <v>BAT-002</v>
      </c>
      <c r="D50" s="21" t="s">
        <v>207</v>
      </c>
      <c r="E50" s="22" t="s">
        <v>208</v>
      </c>
      <c r="F50" s="22" t="s">
        <v>209</v>
      </c>
      <c r="G50" s="21"/>
      <c r="H50" s="21"/>
      <c r="I50" s="21" t="n">
        <v>60</v>
      </c>
      <c r="J50" s="21" t="s">
        <v>161</v>
      </c>
      <c r="K50" s="23"/>
      <c r="L50" s="21" t="str">
        <f aca="false">IF(OR(ISBLANK(K50),AND(ISBLANK(H50),ISBLANK(I50))),"",IF(AND(IF(ISBLANK(H50),TRUE(),K50&gt;=H50),IF(ISBLANK(I50),TRUE(),K50&lt;=I50)),"Pass","Fail"))</f>
        <v/>
      </c>
      <c r="M50" s="23" t="s">
        <v>21</v>
      </c>
      <c r="N50" s="21" t="str">
        <f aca="false">IF(AND(M50&lt;&gt;"Not Run",M50&lt;&gt;""),M50,IF(L50&lt;&gt;"",L50,"Not Run"))</f>
        <v>Not Run</v>
      </c>
      <c r="O50" s="24"/>
    </row>
    <row r="51" customFormat="false" ht="15" hidden="false" customHeight="false" outlineLevel="0" collapsed="false">
      <c r="A51" s="21" t="s">
        <v>30</v>
      </c>
      <c r="B51" s="21" t="n">
        <v>3</v>
      </c>
      <c r="C51" s="21" t="str">
        <f aca="false">IF(ISBLANK(A51),"",A51&amp;"-"&amp;TEXT(B51,"000"))</f>
        <v>BAT-003</v>
      </c>
      <c r="D51" s="21" t="s">
        <v>210</v>
      </c>
      <c r="E51" s="22" t="s">
        <v>211</v>
      </c>
      <c r="F51" s="22" t="s">
        <v>212</v>
      </c>
      <c r="G51" s="21"/>
      <c r="H51" s="21"/>
      <c r="I51" s="21" t="n">
        <v>30</v>
      </c>
      <c r="J51" s="21" t="s">
        <v>161</v>
      </c>
      <c r="K51" s="23"/>
      <c r="L51" s="21" t="str">
        <f aca="false">IF(OR(ISBLANK(K51),AND(ISBLANK(H51),ISBLANK(I51))),"",IF(AND(IF(ISBLANK(H51),TRUE(),K51&gt;=H51),IF(ISBLANK(I51),TRUE(),K51&lt;=I51)),"Pass","Fail"))</f>
        <v/>
      </c>
      <c r="M51" s="23" t="s">
        <v>21</v>
      </c>
      <c r="N51" s="21" t="str">
        <f aca="false">IF(AND(M51&lt;&gt;"Not Run",M51&lt;&gt;""),M51,IF(L51&lt;&gt;"",L51,"Not Run"))</f>
        <v>Not Run</v>
      </c>
      <c r="O51" s="24"/>
    </row>
    <row r="52" customFormat="false" ht="22.35" hidden="false" customHeight="false" outlineLevel="0" collapsed="false">
      <c r="A52" s="21" t="s">
        <v>30</v>
      </c>
      <c r="B52" s="21" t="n">
        <v>4</v>
      </c>
      <c r="C52" s="21" t="str">
        <f aca="false">IF(ISBLANK(A52),"",A52&amp;"-"&amp;TEXT(B52,"000"))</f>
        <v>BAT-004</v>
      </c>
      <c r="D52" s="21" t="s">
        <v>213</v>
      </c>
      <c r="E52" s="22" t="s">
        <v>214</v>
      </c>
      <c r="F52" s="22" t="s">
        <v>215</v>
      </c>
      <c r="G52" s="21"/>
      <c r="H52" s="21"/>
      <c r="I52" s="21"/>
      <c r="J52" s="21"/>
      <c r="K52" s="23"/>
      <c r="L52" s="21" t="str">
        <f aca="false">IF(OR(ISBLANK(K52),AND(ISBLANK(H52),ISBLANK(I52))),"",IF(AND(IF(ISBLANK(H52),TRUE(),K52&gt;=H52),IF(ISBLANK(I52),TRUE(),K52&lt;=I52)),"Pass","Fail"))</f>
        <v/>
      </c>
      <c r="M52" s="23" t="s">
        <v>21</v>
      </c>
      <c r="N52" s="21" t="str">
        <f aca="false">IF(AND(M52&lt;&gt;"Not Run",M52&lt;&gt;""),M52,IF(L52&lt;&gt;"",L52,"Not Run"))</f>
        <v>Not Run</v>
      </c>
      <c r="O52" s="24"/>
    </row>
    <row r="53" customFormat="false" ht="15" hidden="false" customHeight="false" outlineLevel="0" collapsed="false">
      <c r="A53" s="21" t="s">
        <v>30</v>
      </c>
      <c r="B53" s="21" t="n">
        <v>5</v>
      </c>
      <c r="C53" s="21" t="str">
        <f aca="false">IF(ISBLANK(A53),"",A53&amp;"-"&amp;TEXT(B53,"000"))</f>
        <v>BAT-005</v>
      </c>
      <c r="D53" s="21" t="s">
        <v>216</v>
      </c>
      <c r="E53" s="22" t="s">
        <v>217</v>
      </c>
      <c r="F53" s="22" t="s">
        <v>215</v>
      </c>
      <c r="G53" s="21"/>
      <c r="H53" s="21"/>
      <c r="I53" s="21"/>
      <c r="J53" s="21"/>
      <c r="K53" s="23"/>
      <c r="L53" s="21" t="str">
        <f aca="false">IF(OR(ISBLANK(K53),AND(ISBLANK(H53),ISBLANK(I53))),"",IF(AND(IF(ISBLANK(H53),TRUE(),K53&gt;=H53),IF(ISBLANK(I53),TRUE(),K53&lt;=I53)),"Pass","Fail"))</f>
        <v/>
      </c>
      <c r="M53" s="23" t="s">
        <v>21</v>
      </c>
      <c r="N53" s="21" t="str">
        <f aca="false">IF(AND(M53&lt;&gt;"Not Run",M53&lt;&gt;""),M53,IF(L53&lt;&gt;"",L53,"Not Run"))</f>
        <v>Not Run</v>
      </c>
      <c r="O53" s="24"/>
    </row>
    <row r="54" customFormat="false" ht="22.35" hidden="false" customHeight="false" outlineLevel="0" collapsed="false">
      <c r="A54" s="21" t="s">
        <v>30</v>
      </c>
      <c r="B54" s="21" t="n">
        <v>6</v>
      </c>
      <c r="C54" s="21" t="str">
        <f aca="false">IF(ISBLANK(A54),"",A54&amp;"-"&amp;TEXT(B54,"000"))</f>
        <v>BAT-006</v>
      </c>
      <c r="D54" s="21" t="s">
        <v>218</v>
      </c>
      <c r="E54" s="22" t="s">
        <v>219</v>
      </c>
      <c r="F54" s="22" t="s">
        <v>220</v>
      </c>
      <c r="G54" s="21" t="n">
        <v>2.4</v>
      </c>
      <c r="H54" s="21" t="n">
        <v>2.3</v>
      </c>
      <c r="I54" s="21" t="n">
        <v>2.55</v>
      </c>
      <c r="J54" s="21" t="s">
        <v>124</v>
      </c>
      <c r="K54" s="23"/>
      <c r="L54" s="21" t="str">
        <f aca="false">IF(OR(ISBLANK(K54),AND(ISBLANK(H54),ISBLANK(I54))),"",IF(AND(IF(ISBLANK(H54),TRUE(),K54&gt;=H54),IF(ISBLANK(I54),TRUE(),K54&lt;=I54)),"Pass","Fail"))</f>
        <v/>
      </c>
      <c r="M54" s="23" t="s">
        <v>21</v>
      </c>
      <c r="N54" s="21" t="str">
        <f aca="false">IF(AND(M54&lt;&gt;"Not Run",M54&lt;&gt;""),M54,IF(L54&lt;&gt;"",L54,"Not Run"))</f>
        <v>Not Run</v>
      </c>
      <c r="O54" s="24"/>
    </row>
    <row r="55" customFormat="false" ht="22.35" hidden="false" customHeight="false" outlineLevel="0" collapsed="false">
      <c r="A55" s="21" t="s">
        <v>31</v>
      </c>
      <c r="B55" s="21" t="n">
        <v>1</v>
      </c>
      <c r="C55" s="21" t="str">
        <f aca="false">IF(ISBLANK(A55),"",A55&amp;"-"&amp;TEXT(B55,"000"))</f>
        <v>DBG-001</v>
      </c>
      <c r="D55" s="21" t="s">
        <v>221</v>
      </c>
      <c r="E55" s="22" t="s">
        <v>222</v>
      </c>
      <c r="F55" s="22" t="s">
        <v>223</v>
      </c>
      <c r="G55" s="21"/>
      <c r="H55" s="21"/>
      <c r="I55" s="21"/>
      <c r="J55" s="21"/>
      <c r="K55" s="23"/>
      <c r="L55" s="21" t="str">
        <f aca="false">IF(OR(ISBLANK(K55),AND(ISBLANK(H55),ISBLANK(I55))),"",IF(AND(IF(ISBLANK(H55),TRUE(),K55&gt;=H55),IF(ISBLANK(I55),TRUE(),K55&lt;=I55)),"Pass","Fail"))</f>
        <v/>
      </c>
      <c r="M55" s="23" t="s">
        <v>21</v>
      </c>
      <c r="N55" s="21" t="str">
        <f aca="false">IF(AND(M55&lt;&gt;"Not Run",M55&lt;&gt;""),M55,IF(L55&lt;&gt;"",L55,"Not Run"))</f>
        <v>Not Run</v>
      </c>
      <c r="O55" s="24"/>
    </row>
    <row r="56" customFormat="false" ht="22.35" hidden="false" customHeight="false" outlineLevel="0" collapsed="false">
      <c r="A56" s="21" t="s">
        <v>31</v>
      </c>
      <c r="B56" s="21" t="n">
        <v>2</v>
      </c>
      <c r="C56" s="21" t="str">
        <f aca="false">IF(ISBLANK(A56),"",A56&amp;"-"&amp;TEXT(B56,"000"))</f>
        <v>DBG-002</v>
      </c>
      <c r="D56" s="21" t="s">
        <v>224</v>
      </c>
      <c r="E56" s="22" t="s">
        <v>225</v>
      </c>
      <c r="F56" s="22" t="s">
        <v>226</v>
      </c>
      <c r="G56" s="21"/>
      <c r="H56" s="21"/>
      <c r="I56" s="21"/>
      <c r="J56" s="21"/>
      <c r="K56" s="23"/>
      <c r="L56" s="21" t="str">
        <f aca="false">IF(OR(ISBLANK(K56),AND(ISBLANK(H56),ISBLANK(I56))),"",IF(AND(IF(ISBLANK(H56),TRUE(),K56&gt;=H56),IF(ISBLANK(I56),TRUE(),K56&lt;=I56)),"Pass","Fail"))</f>
        <v/>
      </c>
      <c r="M56" s="23" t="s">
        <v>21</v>
      </c>
      <c r="N56" s="21" t="str">
        <f aca="false">IF(AND(M56&lt;&gt;"Not Run",M56&lt;&gt;""),M56,IF(L56&lt;&gt;"",L56,"Not Run"))</f>
        <v>Not Run</v>
      </c>
      <c r="O56" s="24"/>
    </row>
    <row r="57" customFormat="false" ht="15" hidden="false" customHeight="false" outlineLevel="0" collapsed="false">
      <c r="A57" s="21" t="s">
        <v>31</v>
      </c>
      <c r="B57" s="21" t="n">
        <v>3</v>
      </c>
      <c r="C57" s="21" t="str">
        <f aca="false">IF(ISBLANK(A57),"",A57&amp;"-"&amp;TEXT(B57,"000"))</f>
        <v>DBG-003</v>
      </c>
      <c r="D57" s="21" t="s">
        <v>227</v>
      </c>
      <c r="E57" s="22" t="s">
        <v>228</v>
      </c>
      <c r="F57" s="22" t="s">
        <v>139</v>
      </c>
      <c r="G57" s="21"/>
      <c r="H57" s="21"/>
      <c r="I57" s="21"/>
      <c r="J57" s="21"/>
      <c r="K57" s="23"/>
      <c r="L57" s="21" t="str">
        <f aca="false">IF(OR(ISBLANK(K57),AND(ISBLANK(H57),ISBLANK(I57))),"",IF(AND(IF(ISBLANK(H57),TRUE(),K57&gt;=H57),IF(ISBLANK(I57),TRUE(),K57&lt;=I57)),"Pass","Fail"))</f>
        <v/>
      </c>
      <c r="M57" s="23" t="s">
        <v>21</v>
      </c>
      <c r="N57" s="21" t="str">
        <f aca="false">IF(AND(M57&lt;&gt;"Not Run",M57&lt;&gt;""),M57,IF(L57&lt;&gt;"",L57,"Not Run"))</f>
        <v>Not Run</v>
      </c>
      <c r="O57" s="24"/>
    </row>
    <row r="58" customFormat="false" ht="15" hidden="false" customHeight="false" outlineLevel="0" collapsed="false">
      <c r="A58" s="21" t="s">
        <v>31</v>
      </c>
      <c r="B58" s="21" t="n">
        <v>4</v>
      </c>
      <c r="C58" s="21" t="str">
        <f aca="false">IF(ISBLANK(A58),"",A58&amp;"-"&amp;TEXT(B58,"000"))</f>
        <v>DBG-004</v>
      </c>
      <c r="D58" s="21" t="s">
        <v>229</v>
      </c>
      <c r="E58" s="22" t="s">
        <v>230</v>
      </c>
      <c r="F58" s="22" t="s">
        <v>231</v>
      </c>
      <c r="G58" s="21"/>
      <c r="H58" s="21"/>
      <c r="I58" s="21"/>
      <c r="J58" s="21"/>
      <c r="K58" s="23"/>
      <c r="L58" s="21" t="str">
        <f aca="false">IF(OR(ISBLANK(K58),AND(ISBLANK(H58),ISBLANK(I58))),"",IF(AND(IF(ISBLANK(H58),TRUE(),K58&gt;=H58),IF(ISBLANK(I58),TRUE(),K58&lt;=I58)),"Pass","Fail"))</f>
        <v/>
      </c>
      <c r="M58" s="23" t="s">
        <v>21</v>
      </c>
      <c r="N58" s="21" t="str">
        <f aca="false">IF(AND(M58&lt;&gt;"Not Run",M58&lt;&gt;""),M58,IF(L58&lt;&gt;"",L58,"Not Run"))</f>
        <v>Not Run</v>
      </c>
      <c r="O58" s="24"/>
    </row>
    <row r="59" customFormat="false" ht="32.8" hidden="false" customHeight="false" outlineLevel="0" collapsed="false">
      <c r="A59" s="21" t="s">
        <v>31</v>
      </c>
      <c r="B59" s="21" t="n">
        <v>5</v>
      </c>
      <c r="C59" s="21" t="str">
        <f aca="false">IF(ISBLANK(A59),"",A59&amp;"-"&amp;TEXT(B59,"000"))</f>
        <v>DBG-005</v>
      </c>
      <c r="D59" s="21" t="s">
        <v>232</v>
      </c>
      <c r="E59" s="22" t="s">
        <v>233</v>
      </c>
      <c r="F59" s="22" t="s">
        <v>234</v>
      </c>
      <c r="G59" s="21"/>
      <c r="H59" s="21"/>
      <c r="I59" s="21"/>
      <c r="J59" s="21"/>
      <c r="K59" s="23"/>
      <c r="L59" s="21" t="str">
        <f aca="false">IF(OR(ISBLANK(K59),AND(ISBLANK(H59),ISBLANK(I59))),"",IF(AND(IF(ISBLANK(H59),TRUE(),K59&gt;=H59),IF(ISBLANK(I59),TRUE(),K59&lt;=I59)),"Pass","Fail"))</f>
        <v/>
      </c>
      <c r="M59" s="23" t="s">
        <v>21</v>
      </c>
      <c r="N59" s="21" t="str">
        <f aca="false">IF(AND(M59&lt;&gt;"Not Run",M59&lt;&gt;""),M59,IF(L59&lt;&gt;"",L59,"Not Run"))</f>
        <v>Not Run</v>
      </c>
      <c r="O59" s="24"/>
    </row>
    <row r="60" customFormat="false" ht="22.35" hidden="false" customHeight="false" outlineLevel="0" collapsed="false">
      <c r="A60" s="21" t="s">
        <v>31</v>
      </c>
      <c r="B60" s="21" t="n">
        <v>6</v>
      </c>
      <c r="C60" s="21" t="str">
        <f aca="false">IF(ISBLANK(A60),"",A60&amp;"-"&amp;TEXT(B60,"000"))</f>
        <v>DBG-006</v>
      </c>
      <c r="D60" s="21" t="s">
        <v>235</v>
      </c>
      <c r="E60" s="22" t="s">
        <v>236</v>
      </c>
      <c r="F60" s="22" t="s">
        <v>237</v>
      </c>
      <c r="G60" s="21"/>
      <c r="H60" s="21"/>
      <c r="I60" s="21"/>
      <c r="J60" s="21"/>
      <c r="K60" s="23"/>
      <c r="L60" s="21" t="str">
        <f aca="false">IF(OR(ISBLANK(K60),AND(ISBLANK(H60),ISBLANK(I60))),"",IF(AND(IF(ISBLANK(H60),TRUE(),K60&gt;=H60),IF(ISBLANK(I60),TRUE(),K60&lt;=I60)),"Pass","Fail"))</f>
        <v/>
      </c>
      <c r="M60" s="23" t="s">
        <v>21</v>
      </c>
      <c r="N60" s="21" t="str">
        <f aca="false">IF(AND(M60&lt;&gt;"Not Run",M60&lt;&gt;""),M60,IF(L60&lt;&gt;"",L60,"Not Run"))</f>
        <v>Not Run</v>
      </c>
      <c r="O60" s="24"/>
    </row>
    <row r="61" customFormat="false" ht="22.35" hidden="false" customHeight="false" outlineLevel="0" collapsed="false">
      <c r="A61" s="21" t="s">
        <v>31</v>
      </c>
      <c r="B61" s="21" t="n">
        <v>7</v>
      </c>
      <c r="C61" s="21" t="str">
        <f aca="false">IF(ISBLANK(A61),"",A61&amp;"-"&amp;TEXT(B61,"000"))</f>
        <v>DBG-007</v>
      </c>
      <c r="D61" s="21" t="s">
        <v>238</v>
      </c>
      <c r="E61" s="22" t="s">
        <v>239</v>
      </c>
      <c r="F61" s="22" t="s">
        <v>240</v>
      </c>
      <c r="G61" s="21"/>
      <c r="H61" s="21"/>
      <c r="I61" s="21"/>
      <c r="J61" s="21"/>
      <c r="K61" s="23"/>
      <c r="L61" s="21" t="str">
        <f aca="false">IF(OR(ISBLANK(K61),AND(ISBLANK(H61),ISBLANK(I61))),"",IF(AND(IF(ISBLANK(H61),TRUE(),K61&gt;=H61),IF(ISBLANK(I61),TRUE(),K61&lt;=I61)),"Pass","Fail"))</f>
        <v/>
      </c>
      <c r="M61" s="23" t="s">
        <v>21</v>
      </c>
      <c r="N61" s="21" t="str">
        <f aca="false">IF(AND(M61&lt;&gt;"Not Run",M61&lt;&gt;""),M61,IF(L61&lt;&gt;"",L61,"Not Run"))</f>
        <v>Not Run</v>
      </c>
      <c r="O61" s="24"/>
    </row>
    <row r="62" customFormat="false" ht="22.35" hidden="false" customHeight="false" outlineLevel="0" collapsed="false">
      <c r="A62" s="21" t="s">
        <v>31</v>
      </c>
      <c r="B62" s="21" t="n">
        <v>8</v>
      </c>
      <c r="C62" s="21" t="str">
        <f aca="false">IF(ISBLANK(A62),"",A62&amp;"-"&amp;TEXT(B62,"000"))</f>
        <v>DBG-008</v>
      </c>
      <c r="D62" s="21" t="s">
        <v>241</v>
      </c>
      <c r="E62" s="22" t="s">
        <v>242</v>
      </c>
      <c r="F62" s="22" t="s">
        <v>243</v>
      </c>
      <c r="G62" s="21"/>
      <c r="H62" s="21"/>
      <c r="I62" s="21"/>
      <c r="J62" s="21"/>
      <c r="K62" s="23"/>
      <c r="L62" s="21" t="str">
        <f aca="false">IF(OR(ISBLANK(K62),AND(ISBLANK(H62),ISBLANK(I62))),"",IF(AND(IF(ISBLANK(H62),TRUE(),K62&gt;=H62),IF(ISBLANK(I62),TRUE(),K62&lt;=I62)),"Pass","Fail"))</f>
        <v/>
      </c>
      <c r="M62" s="23" t="s">
        <v>21</v>
      </c>
      <c r="N62" s="21" t="str">
        <f aca="false">IF(AND(M62&lt;&gt;"Not Run",M62&lt;&gt;""),M62,IF(L62&lt;&gt;"",L62,"Not Run"))</f>
        <v>Not Run</v>
      </c>
      <c r="O62" s="24"/>
    </row>
    <row r="63" customFormat="false" ht="22.35" hidden="false" customHeight="false" outlineLevel="0" collapsed="false">
      <c r="A63" s="21" t="s">
        <v>31</v>
      </c>
      <c r="B63" s="21" t="n">
        <v>9</v>
      </c>
      <c r="C63" s="21" t="str">
        <f aca="false">IF(ISBLANK(A63),"",A63&amp;"-"&amp;TEXT(B63,"000"))</f>
        <v>DBG-009</v>
      </c>
      <c r="D63" s="21" t="s">
        <v>244</v>
      </c>
      <c r="E63" s="22" t="s">
        <v>245</v>
      </c>
      <c r="F63" s="22" t="s">
        <v>246</v>
      </c>
      <c r="G63" s="21"/>
      <c r="H63" s="21"/>
      <c r="I63" s="21"/>
      <c r="J63" s="21"/>
      <c r="K63" s="23"/>
      <c r="L63" s="21" t="str">
        <f aca="false">IF(OR(ISBLANK(K63),AND(ISBLANK(H63),ISBLANK(I63))),"",IF(AND(IF(ISBLANK(H63),TRUE(),K63&gt;=H63),IF(ISBLANK(I63),TRUE(),K63&lt;=I63)),"Pass","Fail"))</f>
        <v/>
      </c>
      <c r="M63" s="23" t="s">
        <v>21</v>
      </c>
      <c r="N63" s="21" t="str">
        <f aca="false">IF(AND(M63&lt;&gt;"Not Run",M63&lt;&gt;""),M63,IF(L63&lt;&gt;"",L63,"Not Run"))</f>
        <v>Not Run</v>
      </c>
      <c r="O63" s="24"/>
    </row>
    <row r="64" customFormat="false" ht="32.8" hidden="false" customHeight="false" outlineLevel="0" collapsed="false">
      <c r="A64" s="21" t="s">
        <v>31</v>
      </c>
      <c r="B64" s="21" t="n">
        <v>10</v>
      </c>
      <c r="C64" s="21" t="str">
        <f aca="false">IF(ISBLANK(A64),"",A64&amp;"-"&amp;TEXT(B64,"000"))</f>
        <v>DBG-010</v>
      </c>
      <c r="D64" s="21" t="s">
        <v>247</v>
      </c>
      <c r="E64" s="22" t="s">
        <v>248</v>
      </c>
      <c r="F64" s="22" t="s">
        <v>249</v>
      </c>
      <c r="G64" s="21"/>
      <c r="H64" s="21"/>
      <c r="I64" s="21"/>
      <c r="J64" s="21"/>
      <c r="K64" s="23"/>
      <c r="L64" s="21" t="str">
        <f aca="false">IF(OR(ISBLANK(K64),AND(ISBLANK(H64),ISBLANK(I64))),"",IF(AND(IF(ISBLANK(H64),TRUE(),K64&gt;=H64),IF(ISBLANK(I64),TRUE(),K64&lt;=I64)),"Pass","Fail"))</f>
        <v/>
      </c>
      <c r="M64" s="23" t="s">
        <v>21</v>
      </c>
      <c r="N64" s="21" t="str">
        <f aca="false">IF(AND(M64&lt;&gt;"Not Run",M64&lt;&gt;""),M64,IF(L64&lt;&gt;"",L64,"Not Run"))</f>
        <v>Not Run</v>
      </c>
      <c r="O64" s="24"/>
    </row>
    <row r="65" customFormat="false" ht="22.35" hidden="false" customHeight="false" outlineLevel="0" collapsed="false">
      <c r="A65" s="21" t="s">
        <v>32</v>
      </c>
      <c r="B65" s="21" t="n">
        <v>1</v>
      </c>
      <c r="C65" s="21" t="str">
        <f aca="false">IF(ISBLANK(A65),"",A65&amp;"-"&amp;TEXT(B65,"000"))</f>
        <v>NRF-001</v>
      </c>
      <c r="D65" s="21" t="s">
        <v>250</v>
      </c>
      <c r="E65" s="22" t="s">
        <v>251</v>
      </c>
      <c r="F65" s="22" t="s">
        <v>252</v>
      </c>
      <c r="G65" s="21"/>
      <c r="H65" s="21"/>
      <c r="I65" s="21"/>
      <c r="J65" s="21"/>
      <c r="K65" s="23"/>
      <c r="L65" s="21" t="str">
        <f aca="false">IF(OR(ISBLANK(K65),AND(ISBLANK(H65),ISBLANK(I65))),"",IF(AND(IF(ISBLANK(H65),TRUE(),K65&gt;=H65),IF(ISBLANK(I65),TRUE(),K65&lt;=I65)),"Pass","Fail"))</f>
        <v/>
      </c>
      <c r="M65" s="23" t="s">
        <v>21</v>
      </c>
      <c r="N65" s="21" t="str">
        <f aca="false">IF(AND(M65&lt;&gt;"Not Run",M65&lt;&gt;""),M65,IF(L65&lt;&gt;"",L65,"Not Run"))</f>
        <v>Not Run</v>
      </c>
      <c r="O65" s="24"/>
    </row>
    <row r="66" customFormat="false" ht="22.35" hidden="false" customHeight="false" outlineLevel="0" collapsed="false">
      <c r="A66" s="21" t="s">
        <v>32</v>
      </c>
      <c r="B66" s="21" t="n">
        <v>2</v>
      </c>
      <c r="C66" s="21" t="str">
        <f aca="false">IF(ISBLANK(A66),"",A66&amp;"-"&amp;TEXT(B66,"000"))</f>
        <v>NRF-002</v>
      </c>
      <c r="D66" s="21" t="s">
        <v>253</v>
      </c>
      <c r="E66" s="22" t="s">
        <v>254</v>
      </c>
      <c r="F66" s="22" t="s">
        <v>255</v>
      </c>
      <c r="G66" s="21"/>
      <c r="H66" s="21"/>
      <c r="I66" s="21"/>
      <c r="J66" s="21"/>
      <c r="K66" s="23"/>
      <c r="L66" s="21" t="str">
        <f aca="false">IF(OR(ISBLANK(K66),AND(ISBLANK(H66),ISBLANK(I66))),"",IF(AND(IF(ISBLANK(H66),TRUE(),K66&gt;=H66),IF(ISBLANK(I66),TRUE(),K66&lt;=I66)),"Pass","Fail"))</f>
        <v/>
      </c>
      <c r="M66" s="23" t="s">
        <v>21</v>
      </c>
      <c r="N66" s="21" t="str">
        <f aca="false">IF(AND(M66&lt;&gt;"Not Run",M66&lt;&gt;""),M66,IF(L66&lt;&gt;"",L66,"Not Run"))</f>
        <v>Not Run</v>
      </c>
      <c r="O66" s="24"/>
    </row>
    <row r="67" customFormat="false" ht="15" hidden="false" customHeight="false" outlineLevel="0" collapsed="false">
      <c r="A67" s="21" t="s">
        <v>32</v>
      </c>
      <c r="B67" s="21" t="n">
        <v>3</v>
      </c>
      <c r="C67" s="21" t="str">
        <f aca="false">IF(ISBLANK(A67),"",A67&amp;"-"&amp;TEXT(B67,"000"))</f>
        <v>NRF-003</v>
      </c>
      <c r="D67" s="21" t="s">
        <v>256</v>
      </c>
      <c r="E67" s="22" t="s">
        <v>257</v>
      </c>
      <c r="F67" s="22" t="s">
        <v>258</v>
      </c>
      <c r="G67" s="21"/>
      <c r="H67" s="21"/>
      <c r="I67" s="21"/>
      <c r="J67" s="21"/>
      <c r="K67" s="23"/>
      <c r="L67" s="21" t="str">
        <f aca="false">IF(OR(ISBLANK(K67),AND(ISBLANK(H67),ISBLANK(I67))),"",IF(AND(IF(ISBLANK(H67),TRUE(),K67&gt;=H67),IF(ISBLANK(I67),TRUE(),K67&lt;=I67)),"Pass","Fail"))</f>
        <v/>
      </c>
      <c r="M67" s="23" t="s">
        <v>21</v>
      </c>
      <c r="N67" s="21" t="str">
        <f aca="false">IF(AND(M67&lt;&gt;"Not Run",M67&lt;&gt;""),M67,IF(L67&lt;&gt;"",L67,"Not Run"))</f>
        <v>Not Run</v>
      </c>
      <c r="O67" s="24"/>
    </row>
    <row r="68" customFormat="false" ht="15" hidden="false" customHeight="false" outlineLevel="0" collapsed="false">
      <c r="A68" s="21" t="s">
        <v>32</v>
      </c>
      <c r="B68" s="21" t="n">
        <v>4</v>
      </c>
      <c r="C68" s="21" t="str">
        <f aca="false">IF(ISBLANK(A68),"",A68&amp;"-"&amp;TEXT(B68,"000"))</f>
        <v>NRF-004</v>
      </c>
      <c r="D68" s="21" t="s">
        <v>259</v>
      </c>
      <c r="E68" s="22" t="s">
        <v>260</v>
      </c>
      <c r="F68" s="22" t="s">
        <v>261</v>
      </c>
      <c r="G68" s="21" t="n">
        <v>0</v>
      </c>
      <c r="H68" s="21" t="n">
        <v>-150</v>
      </c>
      <c r="I68" s="21" t="n">
        <v>150</v>
      </c>
      <c r="J68" s="21" t="s">
        <v>262</v>
      </c>
      <c r="K68" s="23"/>
      <c r="L68" s="21" t="str">
        <f aca="false">IF(OR(ISBLANK(K68),AND(ISBLANK(H68),ISBLANK(I68))),"",IF(AND(IF(ISBLANK(H68),TRUE(),K68&gt;=H68),IF(ISBLANK(I68),TRUE(),K68&lt;=I68)),"Pass","Fail"))</f>
        <v/>
      </c>
      <c r="M68" s="23" t="s">
        <v>21</v>
      </c>
      <c r="N68" s="21" t="str">
        <f aca="false">IF(AND(M68&lt;&gt;"Not Run",M68&lt;&gt;""),M68,IF(L68&lt;&gt;"",L68,"Not Run"))</f>
        <v>Not Run</v>
      </c>
      <c r="O68" s="24"/>
    </row>
    <row r="69" customFormat="false" ht="22.35" hidden="false" customHeight="false" outlineLevel="0" collapsed="false">
      <c r="A69" s="21" t="s">
        <v>32</v>
      </c>
      <c r="B69" s="21" t="n">
        <v>5</v>
      </c>
      <c r="C69" s="21" t="str">
        <f aca="false">IF(ISBLANK(A69),"",A69&amp;"-"&amp;TEXT(B69,"000"))</f>
        <v>NRF-005</v>
      </c>
      <c r="D69" s="21" t="s">
        <v>263</v>
      </c>
      <c r="E69" s="22" t="s">
        <v>264</v>
      </c>
      <c r="F69" s="22" t="s">
        <v>265</v>
      </c>
      <c r="G69" s="21"/>
      <c r="H69" s="21"/>
      <c r="I69" s="21"/>
      <c r="J69" s="21"/>
      <c r="K69" s="23"/>
      <c r="L69" s="21" t="str">
        <f aca="false">IF(OR(ISBLANK(K69),AND(ISBLANK(H69),ISBLANK(I69))),"",IF(AND(IF(ISBLANK(H69),TRUE(),K69&gt;=H69),IF(ISBLANK(I69),TRUE(),K69&lt;=I69)),"Pass","Fail"))</f>
        <v/>
      </c>
      <c r="M69" s="23" t="s">
        <v>21</v>
      </c>
      <c r="N69" s="21" t="str">
        <f aca="false">IF(AND(M69&lt;&gt;"Not Run",M69&lt;&gt;""),M69,IF(L69&lt;&gt;"",L69,"Not Run"))</f>
        <v>Not Run</v>
      </c>
      <c r="O69" s="24"/>
    </row>
    <row r="70" customFormat="false" ht="15" hidden="false" customHeight="false" outlineLevel="0" collapsed="false">
      <c r="A70" s="21" t="s">
        <v>32</v>
      </c>
      <c r="B70" s="21" t="n">
        <v>6</v>
      </c>
      <c r="C70" s="21" t="str">
        <f aca="false">IF(ISBLANK(A70),"",A70&amp;"-"&amp;TEXT(B70,"000"))</f>
        <v>NRF-006</v>
      </c>
      <c r="D70" s="21" t="s">
        <v>266</v>
      </c>
      <c r="E70" s="22" t="s">
        <v>267</v>
      </c>
      <c r="F70" s="22" t="s">
        <v>268</v>
      </c>
      <c r="G70" s="21"/>
      <c r="H70" s="21"/>
      <c r="I70" s="21"/>
      <c r="J70" s="21"/>
      <c r="K70" s="23"/>
      <c r="L70" s="21" t="str">
        <f aca="false">IF(OR(ISBLANK(K70),AND(ISBLANK(H70),ISBLANK(I70))),"",IF(AND(IF(ISBLANK(H70),TRUE(),K70&gt;=H70),IF(ISBLANK(I70),TRUE(),K70&lt;=I70)),"Pass","Fail"))</f>
        <v/>
      </c>
      <c r="M70" s="23" t="s">
        <v>21</v>
      </c>
      <c r="N70" s="21" t="str">
        <f aca="false">IF(AND(M70&lt;&gt;"Not Run",M70&lt;&gt;""),M70,IF(L70&lt;&gt;"",L70,"Not Run"))</f>
        <v>Not Run</v>
      </c>
      <c r="O70" s="24"/>
    </row>
    <row r="71" customFormat="false" ht="22.35" hidden="false" customHeight="false" outlineLevel="0" collapsed="false">
      <c r="A71" s="21" t="s">
        <v>32</v>
      </c>
      <c r="B71" s="21" t="n">
        <v>7</v>
      </c>
      <c r="C71" s="21" t="str">
        <f aca="false">IF(ISBLANK(A71),"",A71&amp;"-"&amp;TEXT(B71,"000"))</f>
        <v>NRF-007</v>
      </c>
      <c r="D71" s="21" t="s">
        <v>269</v>
      </c>
      <c r="E71" s="22" t="s">
        <v>270</v>
      </c>
      <c r="F71" s="22" t="s">
        <v>169</v>
      </c>
      <c r="G71" s="21"/>
      <c r="H71" s="21"/>
      <c r="I71" s="21"/>
      <c r="J71" s="21"/>
      <c r="K71" s="23"/>
      <c r="L71" s="21" t="str">
        <f aca="false">IF(OR(ISBLANK(K71),AND(ISBLANK(H71),ISBLANK(I71))),"",IF(AND(IF(ISBLANK(H71),TRUE(),K71&gt;=H71),IF(ISBLANK(I71),TRUE(),K71&lt;=I71)),"Pass","Fail"))</f>
        <v/>
      </c>
      <c r="M71" s="23" t="s">
        <v>21</v>
      </c>
      <c r="N71" s="21" t="str">
        <f aca="false">IF(AND(M71&lt;&gt;"Not Run",M71&lt;&gt;""),M71,IF(L71&lt;&gt;"",L71,"Not Run"))</f>
        <v>Not Run</v>
      </c>
      <c r="O71" s="24"/>
    </row>
    <row r="72" customFormat="false" ht="22.35" hidden="false" customHeight="false" outlineLevel="0" collapsed="false">
      <c r="A72" s="21" t="s">
        <v>32</v>
      </c>
      <c r="B72" s="21" t="n">
        <v>8</v>
      </c>
      <c r="C72" s="21" t="str">
        <f aca="false">IF(ISBLANK(A72),"",A72&amp;"-"&amp;TEXT(B72,"000"))</f>
        <v>NRF-008</v>
      </c>
      <c r="D72" s="21" t="s">
        <v>271</v>
      </c>
      <c r="E72" s="22" t="s">
        <v>272</v>
      </c>
      <c r="F72" s="22" t="s">
        <v>273</v>
      </c>
      <c r="G72" s="21"/>
      <c r="H72" s="21"/>
      <c r="I72" s="21"/>
      <c r="J72" s="21"/>
      <c r="K72" s="23"/>
      <c r="L72" s="21" t="str">
        <f aca="false">IF(OR(ISBLANK(K72),AND(ISBLANK(H72),ISBLANK(I72))),"",IF(AND(IF(ISBLANK(H72),TRUE(),K72&gt;=H72),IF(ISBLANK(I72),TRUE(),K72&lt;=I72)),"Pass","Fail"))</f>
        <v/>
      </c>
      <c r="M72" s="23" t="s">
        <v>21</v>
      </c>
      <c r="N72" s="21" t="str">
        <f aca="false">IF(AND(M72&lt;&gt;"Not Run",M72&lt;&gt;""),M72,IF(L72&lt;&gt;"",L72,"Not Run"))</f>
        <v>Not Run</v>
      </c>
      <c r="O72" s="24"/>
    </row>
    <row r="73" customFormat="false" ht="15" hidden="false" customHeight="false" outlineLevel="0" collapsed="false">
      <c r="A73" s="21" t="s">
        <v>32</v>
      </c>
      <c r="B73" s="21" t="n">
        <v>9</v>
      </c>
      <c r="C73" s="21" t="str">
        <f aca="false">IF(ISBLANK(A73),"",A73&amp;"-"&amp;TEXT(B73,"000"))</f>
        <v>NRF-009</v>
      </c>
      <c r="D73" s="21" t="s">
        <v>274</v>
      </c>
      <c r="E73" s="22" t="s">
        <v>275</v>
      </c>
      <c r="F73" s="22" t="s">
        <v>276</v>
      </c>
      <c r="G73" s="21"/>
      <c r="H73" s="21"/>
      <c r="I73" s="21"/>
      <c r="J73" s="21"/>
      <c r="K73" s="23"/>
      <c r="L73" s="21" t="str">
        <f aca="false">IF(OR(ISBLANK(K73),AND(ISBLANK(H73),ISBLANK(I73))),"",IF(AND(IF(ISBLANK(H73),TRUE(),K73&gt;=H73),IF(ISBLANK(I73),TRUE(),K73&lt;=I73)),"Pass","Fail"))</f>
        <v/>
      </c>
      <c r="M73" s="23" t="s">
        <v>21</v>
      </c>
      <c r="N73" s="21" t="str">
        <f aca="false">IF(AND(M73&lt;&gt;"Not Run",M73&lt;&gt;""),M73,IF(L73&lt;&gt;"",L73,"Not Run"))</f>
        <v>Not Run</v>
      </c>
      <c r="O73" s="24"/>
    </row>
    <row r="74" customFormat="false" ht="32.8" hidden="false" customHeight="false" outlineLevel="0" collapsed="false">
      <c r="A74" s="21" t="s">
        <v>33</v>
      </c>
      <c r="B74" s="21" t="n">
        <v>1</v>
      </c>
      <c r="C74" s="21" t="str">
        <f aca="false">IF(ISBLANK(A74),"",A74&amp;"-"&amp;TEXT(B74,"000"))</f>
        <v>GPIO-001</v>
      </c>
      <c r="D74" s="21" t="s">
        <v>277</v>
      </c>
      <c r="E74" s="22" t="s">
        <v>278</v>
      </c>
      <c r="F74" s="22" t="s">
        <v>279</v>
      </c>
      <c r="G74" s="21" t="n">
        <v>3.3</v>
      </c>
      <c r="H74" s="21" t="n">
        <v>3.2</v>
      </c>
      <c r="I74" s="21" t="n">
        <v>3.4</v>
      </c>
      <c r="J74" s="21" t="s">
        <v>124</v>
      </c>
      <c r="K74" s="23"/>
      <c r="L74" s="21" t="str">
        <f aca="false">IF(OR(ISBLANK(K74),AND(ISBLANK(H74),ISBLANK(I74))),"",IF(AND(IF(ISBLANK(H74),TRUE(),K74&gt;=H74),IF(ISBLANK(I74),TRUE(),K74&lt;=I74)),"Pass","Fail"))</f>
        <v/>
      </c>
      <c r="M74" s="23" t="s">
        <v>21</v>
      </c>
      <c r="N74" s="21" t="str">
        <f aca="false">IF(AND(M74&lt;&gt;"Not Run",M74&lt;&gt;""),M74,IF(L74&lt;&gt;"",L74,"Not Run"))</f>
        <v>Not Run</v>
      </c>
      <c r="O74" s="24"/>
    </row>
    <row r="75" customFormat="false" ht="15" hidden="false" customHeight="false" outlineLevel="0" collapsed="false">
      <c r="A75" s="21" t="s">
        <v>33</v>
      </c>
      <c r="B75" s="21" t="n">
        <v>2</v>
      </c>
      <c r="C75" s="21" t="str">
        <f aca="false">IF(ISBLANK(A75),"",A75&amp;"-"&amp;TEXT(B75,"000"))</f>
        <v>GPIO-002</v>
      </c>
      <c r="D75" s="21" t="s">
        <v>280</v>
      </c>
      <c r="E75" s="22" t="s">
        <v>281</v>
      </c>
      <c r="F75" s="22" t="s">
        <v>175</v>
      </c>
      <c r="G75" s="21"/>
      <c r="H75" s="21"/>
      <c r="I75" s="21"/>
      <c r="J75" s="21"/>
      <c r="K75" s="23"/>
      <c r="L75" s="21" t="str">
        <f aca="false">IF(OR(ISBLANK(K75),AND(ISBLANK(H75),ISBLANK(I75))),"",IF(AND(IF(ISBLANK(H75),TRUE(),K75&gt;=H75),IF(ISBLANK(I75),TRUE(),K75&lt;=I75)),"Pass","Fail"))</f>
        <v/>
      </c>
      <c r="M75" s="23" t="s">
        <v>21</v>
      </c>
      <c r="N75" s="21" t="str">
        <f aca="false">IF(AND(M75&lt;&gt;"Not Run",M75&lt;&gt;""),M75,IF(L75&lt;&gt;"",L75,"Not Run"))</f>
        <v>Not Run</v>
      </c>
      <c r="O75" s="24"/>
    </row>
    <row r="76" customFormat="false" ht="22.35" hidden="false" customHeight="false" outlineLevel="0" collapsed="false">
      <c r="A76" s="21" t="s">
        <v>33</v>
      </c>
      <c r="B76" s="21" t="n">
        <v>3</v>
      </c>
      <c r="C76" s="21" t="str">
        <f aca="false">IF(ISBLANK(A76),"",A76&amp;"-"&amp;TEXT(B76,"000"))</f>
        <v>GPIO-003</v>
      </c>
      <c r="D76" s="21" t="s">
        <v>282</v>
      </c>
      <c r="E76" s="22" t="s">
        <v>283</v>
      </c>
      <c r="F76" s="22" t="s">
        <v>284</v>
      </c>
      <c r="G76" s="21"/>
      <c r="H76" s="21"/>
      <c r="I76" s="21"/>
      <c r="J76" s="21"/>
      <c r="K76" s="23"/>
      <c r="L76" s="21" t="str">
        <f aca="false">IF(OR(ISBLANK(K76),AND(ISBLANK(H76),ISBLANK(I76))),"",IF(AND(IF(ISBLANK(H76),TRUE(),K76&gt;=H76),IF(ISBLANK(I76),TRUE(),K76&lt;=I76)),"Pass","Fail"))</f>
        <v/>
      </c>
      <c r="M76" s="23" t="s">
        <v>21</v>
      </c>
      <c r="N76" s="21" t="str">
        <f aca="false">IF(AND(M76&lt;&gt;"Not Run",M76&lt;&gt;""),M76,IF(L76&lt;&gt;"",L76,"Not Run"))</f>
        <v>Not Run</v>
      </c>
      <c r="O76" s="24"/>
    </row>
    <row r="77" customFormat="false" ht="22.35" hidden="false" customHeight="false" outlineLevel="0" collapsed="false">
      <c r="A77" s="21" t="s">
        <v>33</v>
      </c>
      <c r="B77" s="21" t="n">
        <v>4</v>
      </c>
      <c r="C77" s="21" t="str">
        <f aca="false">IF(ISBLANK(A77),"",A77&amp;"-"&amp;TEXT(B77,"000"))</f>
        <v>GPIO-004</v>
      </c>
      <c r="D77" s="21" t="s">
        <v>285</v>
      </c>
      <c r="E77" s="22" t="s">
        <v>286</v>
      </c>
      <c r="F77" s="22" t="s">
        <v>287</v>
      </c>
      <c r="G77" s="21" t="n">
        <v>2000</v>
      </c>
      <c r="H77" s="21" t="n">
        <v>1940</v>
      </c>
      <c r="I77" s="21" t="n">
        <v>2060</v>
      </c>
      <c r="J77" s="21" t="s">
        <v>161</v>
      </c>
      <c r="K77" s="23"/>
      <c r="L77" s="21" t="str">
        <f aca="false">IF(OR(ISBLANK(K77),AND(ISBLANK(H77),ISBLANK(I77))),"",IF(AND(IF(ISBLANK(H77),TRUE(),K77&gt;=H77),IF(ISBLANK(I77),TRUE(),K77&lt;=I77)),"Pass","Fail"))</f>
        <v/>
      </c>
      <c r="M77" s="23" t="s">
        <v>21</v>
      </c>
      <c r="N77" s="21" t="str">
        <f aca="false">IF(AND(M77&lt;&gt;"Not Run",M77&lt;&gt;""),M77,IF(L77&lt;&gt;"",L77,"Not Run"))</f>
        <v>Not Run</v>
      </c>
      <c r="O77" s="24"/>
    </row>
    <row r="78" customFormat="false" ht="22.35" hidden="false" customHeight="false" outlineLevel="0" collapsed="false">
      <c r="A78" s="21" t="s">
        <v>33</v>
      </c>
      <c r="B78" s="21" t="n">
        <v>5</v>
      </c>
      <c r="C78" s="21" t="str">
        <f aca="false">IF(ISBLANK(A78),"",A78&amp;"-"&amp;TEXT(B78,"000"))</f>
        <v>GPIO-005</v>
      </c>
      <c r="D78" s="21" t="s">
        <v>288</v>
      </c>
      <c r="E78" s="22" t="s">
        <v>289</v>
      </c>
      <c r="F78" s="22" t="s">
        <v>175</v>
      </c>
      <c r="G78" s="21"/>
      <c r="H78" s="21"/>
      <c r="I78" s="21"/>
      <c r="J78" s="21"/>
      <c r="K78" s="23"/>
      <c r="L78" s="21" t="str">
        <f aca="false">IF(OR(ISBLANK(K78),AND(ISBLANK(H78),ISBLANK(I78))),"",IF(AND(IF(ISBLANK(H78),TRUE(),K78&gt;=H78),IF(ISBLANK(I78),TRUE(),K78&lt;=I78)),"Pass","Fail"))</f>
        <v/>
      </c>
      <c r="M78" s="23" t="s">
        <v>21</v>
      </c>
      <c r="N78" s="21" t="str">
        <f aca="false">IF(AND(M78&lt;&gt;"Not Run",M78&lt;&gt;""),M78,IF(L78&lt;&gt;"",L78,"Not Run"))</f>
        <v>Not Run</v>
      </c>
      <c r="O78" s="24"/>
    </row>
    <row r="79" customFormat="false" ht="22.35" hidden="false" customHeight="false" outlineLevel="0" collapsed="false">
      <c r="A79" s="21" t="s">
        <v>34</v>
      </c>
      <c r="B79" s="21" t="n">
        <v>1</v>
      </c>
      <c r="C79" s="21" t="str">
        <f aca="false">IF(ISBLANK(A79),"",A79&amp;"-"&amp;TEXT(B79,"000"))</f>
        <v>I2C-001</v>
      </c>
      <c r="D79" s="21" t="s">
        <v>290</v>
      </c>
      <c r="E79" s="22" t="s">
        <v>291</v>
      </c>
      <c r="F79" s="22" t="s">
        <v>292</v>
      </c>
      <c r="G79" s="21" t="n">
        <v>3.3</v>
      </c>
      <c r="H79" s="21" t="n">
        <v>3.2</v>
      </c>
      <c r="I79" s="21" t="n">
        <v>3.4</v>
      </c>
      <c r="J79" s="21" t="s">
        <v>124</v>
      </c>
      <c r="K79" s="23"/>
      <c r="L79" s="21" t="str">
        <f aca="false">IF(OR(ISBLANK(K79),AND(ISBLANK(H79),ISBLANK(I79))),"",IF(AND(IF(ISBLANK(H79),TRUE(),K79&gt;=H79),IF(ISBLANK(I79),TRUE(),K79&lt;=I79)),"Pass","Fail"))</f>
        <v/>
      </c>
      <c r="M79" s="23" t="s">
        <v>21</v>
      </c>
      <c r="N79" s="21" t="str">
        <f aca="false">IF(AND(M79&lt;&gt;"Not Run",M79&lt;&gt;""),M79,IF(L79&lt;&gt;"",L79,"Not Run"))</f>
        <v>Not Run</v>
      </c>
      <c r="O79" s="24"/>
    </row>
    <row r="80" customFormat="false" ht="15" hidden="false" customHeight="false" outlineLevel="0" collapsed="false">
      <c r="A80" s="21" t="s">
        <v>34</v>
      </c>
      <c r="B80" s="21" t="n">
        <v>2</v>
      </c>
      <c r="C80" s="21" t="str">
        <f aca="false">IF(ISBLANK(A80),"",A80&amp;"-"&amp;TEXT(B80,"000"))</f>
        <v>I2C-002</v>
      </c>
      <c r="D80" s="21" t="s">
        <v>293</v>
      </c>
      <c r="E80" s="22" t="s">
        <v>294</v>
      </c>
      <c r="F80" s="22" t="s">
        <v>295</v>
      </c>
      <c r="G80" s="21"/>
      <c r="H80" s="21"/>
      <c r="I80" s="21"/>
      <c r="J80" s="21"/>
      <c r="K80" s="23"/>
      <c r="L80" s="21" t="str">
        <f aca="false">IF(OR(ISBLANK(K80),AND(ISBLANK(H80),ISBLANK(I80))),"",IF(AND(IF(ISBLANK(H80),TRUE(),K80&gt;=H80),IF(ISBLANK(I80),TRUE(),K80&lt;=I80)),"Pass","Fail"))</f>
        <v/>
      </c>
      <c r="M80" s="23" t="s">
        <v>21</v>
      </c>
      <c r="N80" s="21" t="str">
        <f aca="false">IF(AND(M80&lt;&gt;"Not Run",M80&lt;&gt;""),M80,IF(L80&lt;&gt;"",L80,"Not Run"))</f>
        <v>Not Run</v>
      </c>
      <c r="O80" s="24"/>
    </row>
    <row r="81" customFormat="false" ht="15" hidden="false" customHeight="false" outlineLevel="0" collapsed="false">
      <c r="A81" s="21" t="s">
        <v>34</v>
      </c>
      <c r="B81" s="21" t="n">
        <v>3</v>
      </c>
      <c r="C81" s="21" t="str">
        <f aca="false">IF(ISBLANK(A81),"",A81&amp;"-"&amp;TEXT(B81,"000"))</f>
        <v>I2C-003</v>
      </c>
      <c r="D81" s="21" t="s">
        <v>296</v>
      </c>
      <c r="E81" s="22" t="s">
        <v>297</v>
      </c>
      <c r="F81" s="22" t="s">
        <v>298</v>
      </c>
      <c r="G81" s="21"/>
      <c r="H81" s="21"/>
      <c r="I81" s="21"/>
      <c r="J81" s="21"/>
      <c r="K81" s="23"/>
      <c r="L81" s="21" t="str">
        <f aca="false">IF(OR(ISBLANK(K81),AND(ISBLANK(H81),ISBLANK(I81))),"",IF(AND(IF(ISBLANK(H81),TRUE(),K81&gt;=H81),IF(ISBLANK(I81),TRUE(),K81&lt;=I81)),"Pass","Fail"))</f>
        <v/>
      </c>
      <c r="M81" s="23" t="s">
        <v>21</v>
      </c>
      <c r="N81" s="21" t="str">
        <f aca="false">IF(AND(M81&lt;&gt;"Not Run",M81&lt;&gt;""),M81,IF(L81&lt;&gt;"",L81,"Not Run"))</f>
        <v>Not Run</v>
      </c>
      <c r="O81" s="24"/>
    </row>
    <row r="82" customFormat="false" ht="15" hidden="false" customHeight="false" outlineLevel="0" collapsed="false">
      <c r="A82" s="21" t="s">
        <v>34</v>
      </c>
      <c r="B82" s="21" t="n">
        <v>4</v>
      </c>
      <c r="C82" s="21" t="str">
        <f aca="false">IF(ISBLANK(A82),"",A82&amp;"-"&amp;TEXT(B82,"000"))</f>
        <v>I2C-004</v>
      </c>
      <c r="D82" s="21" t="s">
        <v>299</v>
      </c>
      <c r="E82" s="22" t="s">
        <v>300</v>
      </c>
      <c r="F82" s="22" t="s">
        <v>301</v>
      </c>
      <c r="G82" s="21"/>
      <c r="H82" s="21"/>
      <c r="I82" s="21"/>
      <c r="J82" s="21"/>
      <c r="K82" s="23"/>
      <c r="L82" s="21" t="str">
        <f aca="false">IF(OR(ISBLANK(K82),AND(ISBLANK(H82),ISBLANK(I82))),"",IF(AND(IF(ISBLANK(H82),TRUE(),K82&gt;=H82),IF(ISBLANK(I82),TRUE(),K82&lt;=I82)),"Pass","Fail"))</f>
        <v/>
      </c>
      <c r="M82" s="23" t="s">
        <v>21</v>
      </c>
      <c r="N82" s="21" t="str">
        <f aca="false">IF(AND(M82&lt;&gt;"Not Run",M82&lt;&gt;""),M82,IF(L82&lt;&gt;"",L82,"Not Run"))</f>
        <v>Not Run</v>
      </c>
      <c r="O82" s="24"/>
    </row>
    <row r="83" customFormat="false" ht="22.35" hidden="false" customHeight="false" outlineLevel="0" collapsed="false">
      <c r="A83" s="21" t="s">
        <v>34</v>
      </c>
      <c r="B83" s="21" t="n">
        <v>5</v>
      </c>
      <c r="C83" s="21" t="str">
        <f aca="false">IF(ISBLANK(A83),"",A83&amp;"-"&amp;TEXT(B83,"000"))</f>
        <v>I2C-005</v>
      </c>
      <c r="D83" s="21" t="s">
        <v>302</v>
      </c>
      <c r="E83" s="22" t="s">
        <v>303</v>
      </c>
      <c r="F83" s="22" t="s">
        <v>304</v>
      </c>
      <c r="G83" s="21" t="n">
        <v>3.3</v>
      </c>
      <c r="H83" s="21" t="n">
        <v>3.2</v>
      </c>
      <c r="I83" s="21" t="n">
        <v>3.4</v>
      </c>
      <c r="J83" s="21" t="s">
        <v>124</v>
      </c>
      <c r="K83" s="23"/>
      <c r="L83" s="21" t="str">
        <f aca="false">IF(OR(ISBLANK(K83),AND(ISBLANK(H83),ISBLANK(I83))),"",IF(AND(IF(ISBLANK(H83),TRUE(),K83&gt;=H83),IF(ISBLANK(I83),TRUE(),K83&lt;=I83)),"Pass","Fail"))</f>
        <v/>
      </c>
      <c r="M83" s="23" t="s">
        <v>21</v>
      </c>
      <c r="N83" s="21" t="str">
        <f aca="false">IF(AND(M83&lt;&gt;"Not Run",M83&lt;&gt;""),M83,IF(L83&lt;&gt;"",L83,"Not Run"))</f>
        <v>Not Run</v>
      </c>
      <c r="O83" s="24"/>
    </row>
    <row r="84" customFormat="false" ht="22.35" hidden="false" customHeight="false" outlineLevel="0" collapsed="false">
      <c r="A84" s="21" t="s">
        <v>35</v>
      </c>
      <c r="B84" s="21" t="n">
        <v>1</v>
      </c>
      <c r="C84" s="21" t="str">
        <f aca="false">IF(ISBLANK(A84),"",A84&amp;"-"&amp;TEXT(B84,"000"))</f>
        <v>IMEAS-001</v>
      </c>
      <c r="D84" s="21" t="s">
        <v>305</v>
      </c>
      <c r="E84" s="22" t="s">
        <v>306</v>
      </c>
      <c r="F84" s="22" t="s">
        <v>307</v>
      </c>
      <c r="G84" s="21"/>
      <c r="H84" s="21"/>
      <c r="I84" s="21" t="n">
        <v>50</v>
      </c>
      <c r="J84" s="21" t="s">
        <v>161</v>
      </c>
      <c r="K84" s="23"/>
      <c r="L84" s="21" t="str">
        <f aca="false">IF(OR(ISBLANK(K84),AND(ISBLANK(H84),ISBLANK(I84))),"",IF(AND(IF(ISBLANK(H84),TRUE(),K84&gt;=H84),IF(ISBLANK(I84),TRUE(),K84&lt;=I84)),"Pass","Fail"))</f>
        <v/>
      </c>
      <c r="M84" s="23" t="s">
        <v>21</v>
      </c>
      <c r="N84" s="21" t="str">
        <f aca="false">IF(AND(M84&lt;&gt;"Not Run",M84&lt;&gt;""),M84,IF(L84&lt;&gt;"",L84,"Not Run"))</f>
        <v>Not Run</v>
      </c>
      <c r="O84" s="24"/>
    </row>
    <row r="85" customFormat="false" ht="15" hidden="false" customHeight="false" outlineLevel="0" collapsed="false">
      <c r="A85" s="21" t="s">
        <v>35</v>
      </c>
      <c r="B85" s="21" t="n">
        <v>2</v>
      </c>
      <c r="C85" s="21" t="str">
        <f aca="false">IF(ISBLANK(A85),"",A85&amp;"-"&amp;TEXT(B85,"000"))</f>
        <v>IMEAS-002</v>
      </c>
      <c r="D85" s="21" t="s">
        <v>308</v>
      </c>
      <c r="E85" s="22" t="s">
        <v>309</v>
      </c>
      <c r="F85" s="22" t="s">
        <v>99</v>
      </c>
      <c r="G85" s="21"/>
      <c r="H85" s="21" t="n">
        <v>0.3</v>
      </c>
      <c r="I85" s="21" t="n">
        <v>8</v>
      </c>
      <c r="J85" s="21" t="s">
        <v>146</v>
      </c>
      <c r="K85" s="23"/>
      <c r="L85" s="21" t="str">
        <f aca="false">IF(OR(ISBLANK(K85),AND(ISBLANK(H85),ISBLANK(I85))),"",IF(AND(IF(ISBLANK(H85),TRUE(),K85&gt;=H85),IF(ISBLANK(I85),TRUE(),K85&lt;=I85)),"Pass","Fail"))</f>
        <v/>
      </c>
      <c r="M85" s="23" t="s">
        <v>21</v>
      </c>
      <c r="N85" s="21" t="str">
        <f aca="false">IF(AND(M85&lt;&gt;"Not Run",M85&lt;&gt;""),M85,IF(L85&lt;&gt;"",L85,"Not Run"))</f>
        <v>Not Run</v>
      </c>
      <c r="O85" s="24"/>
    </row>
    <row r="86" customFormat="false" ht="15" hidden="false" customHeight="false" outlineLevel="0" collapsed="false">
      <c r="A86" s="21" t="s">
        <v>35</v>
      </c>
      <c r="B86" s="21" t="n">
        <v>3</v>
      </c>
      <c r="C86" s="21" t="str">
        <f aca="false">IF(ISBLANK(A86),"",A86&amp;"-"&amp;TEXT(B86,"000"))</f>
        <v>IMEAS-003</v>
      </c>
      <c r="D86" s="21" t="s">
        <v>310</v>
      </c>
      <c r="E86" s="22" t="s">
        <v>311</v>
      </c>
      <c r="F86" s="22" t="s">
        <v>99</v>
      </c>
      <c r="G86" s="21"/>
      <c r="H86" s="21" t="n">
        <v>3</v>
      </c>
      <c r="I86" s="21" t="n">
        <v>10</v>
      </c>
      <c r="J86" s="21" t="s">
        <v>146</v>
      </c>
      <c r="K86" s="23"/>
      <c r="L86" s="21" t="str">
        <f aca="false">IF(OR(ISBLANK(K86),AND(ISBLANK(H86),ISBLANK(I86))),"",IF(AND(IF(ISBLANK(H86),TRUE(),K86&gt;=H86),IF(ISBLANK(I86),TRUE(),K86&lt;=I86)),"Pass","Fail"))</f>
        <v/>
      </c>
      <c r="M86" s="23" t="s">
        <v>21</v>
      </c>
      <c r="N86" s="21" t="str">
        <f aca="false">IF(AND(M86&lt;&gt;"Not Run",M86&lt;&gt;""),M86,IF(L86&lt;&gt;"",L86,"Not Run"))</f>
        <v>Not Run</v>
      </c>
      <c r="O86" s="24"/>
    </row>
    <row r="87" customFormat="false" ht="22.35" hidden="false" customHeight="false" outlineLevel="0" collapsed="false">
      <c r="A87" s="21" t="s">
        <v>35</v>
      </c>
      <c r="B87" s="21" t="n">
        <v>4</v>
      </c>
      <c r="C87" s="21" t="str">
        <f aca="false">IF(ISBLANK(A87),"",A87&amp;"-"&amp;TEXT(B87,"000"))</f>
        <v>IMEAS-004</v>
      </c>
      <c r="D87" s="21" t="s">
        <v>312</v>
      </c>
      <c r="E87" s="22" t="s">
        <v>313</v>
      </c>
      <c r="F87" s="22" t="s">
        <v>314</v>
      </c>
      <c r="G87" s="21"/>
      <c r="H87" s="21"/>
      <c r="I87" s="21" t="n">
        <v>25</v>
      </c>
      <c r="J87" s="21" t="s">
        <v>315</v>
      </c>
      <c r="K87" s="23"/>
      <c r="L87" s="21" t="str">
        <f aca="false">IF(OR(ISBLANK(K87),AND(ISBLANK(H87),ISBLANK(I87))),"",IF(AND(IF(ISBLANK(H87),TRUE(),K87&gt;=H87),IF(ISBLANK(I87),TRUE(),K87&lt;=I87)),"Pass","Fail"))</f>
        <v/>
      </c>
      <c r="M87" s="23" t="s">
        <v>21</v>
      </c>
      <c r="N87" s="21" t="str">
        <f aca="false">IF(AND(M87&lt;&gt;"Not Run",M87&lt;&gt;""),M87,IF(L87&lt;&gt;"",L87,"Not Run"))</f>
        <v>Not Run</v>
      </c>
      <c r="O87" s="24"/>
    </row>
    <row r="88" customFormat="false" ht="15" hidden="false" customHeight="false" outlineLevel="0" collapsed="false">
      <c r="A88" s="21" t="s">
        <v>35</v>
      </c>
      <c r="B88" s="21" t="n">
        <v>5</v>
      </c>
      <c r="C88" s="21" t="str">
        <f aca="false">IF(ISBLANK(A88),"",A88&amp;"-"&amp;TEXT(B88,"000"))</f>
        <v>IMEAS-005</v>
      </c>
      <c r="D88" s="21" t="s">
        <v>316</v>
      </c>
      <c r="E88" s="22" t="s">
        <v>317</v>
      </c>
      <c r="F88" s="22" t="s">
        <v>318</v>
      </c>
      <c r="G88" s="21"/>
      <c r="H88" s="21"/>
      <c r="I88" s="21" t="n">
        <v>10</v>
      </c>
      <c r="J88" s="21" t="s">
        <v>315</v>
      </c>
      <c r="K88" s="23"/>
      <c r="L88" s="21" t="str">
        <f aca="false">IF(OR(ISBLANK(K88),AND(ISBLANK(H88),ISBLANK(I88))),"",IF(AND(IF(ISBLANK(H88),TRUE(),K88&gt;=H88),IF(ISBLANK(I88),TRUE(),K88&lt;=I88)),"Pass","Fail"))</f>
        <v/>
      </c>
      <c r="M88" s="23" t="s">
        <v>21</v>
      </c>
      <c r="N88" s="21" t="str">
        <f aca="false">IF(AND(M88&lt;&gt;"Not Run",M88&lt;&gt;""),M88,IF(L88&lt;&gt;"",L88,"Not Run"))</f>
        <v>Not Run</v>
      </c>
      <c r="O88" s="24"/>
    </row>
    <row r="89" customFormat="false" ht="22.35" hidden="false" customHeight="false" outlineLevel="0" collapsed="false">
      <c r="A89" s="21" t="s">
        <v>35</v>
      </c>
      <c r="B89" s="21" t="n">
        <v>6</v>
      </c>
      <c r="C89" s="21" t="str">
        <f aca="false">IF(ISBLANK(A89),"",A89&amp;"-"&amp;TEXT(B89,"000"))</f>
        <v>IMEAS-006</v>
      </c>
      <c r="D89" s="21" t="s">
        <v>319</v>
      </c>
      <c r="E89" s="22" t="s">
        <v>320</v>
      </c>
      <c r="F89" s="22" t="s">
        <v>321</v>
      </c>
      <c r="G89" s="21"/>
      <c r="H89" s="21"/>
      <c r="I89" s="21"/>
      <c r="J89" s="21"/>
      <c r="K89" s="23"/>
      <c r="L89" s="21" t="str">
        <f aca="false">IF(OR(ISBLANK(K89),AND(ISBLANK(H89),ISBLANK(I89))),"",IF(AND(IF(ISBLANK(H89),TRUE(),K89&gt;=H89),IF(ISBLANK(I89),TRUE(),K89&lt;=I89)),"Pass","Fail"))</f>
        <v/>
      </c>
      <c r="M89" s="23" t="s">
        <v>21</v>
      </c>
      <c r="N89" s="21" t="str">
        <f aca="false">IF(AND(M89&lt;&gt;"Not Run",M89&lt;&gt;""),M89,IF(L89&lt;&gt;"",L89,"Not Run"))</f>
        <v>Not Run</v>
      </c>
      <c r="O89" s="24"/>
    </row>
    <row r="90" customFormat="false" ht="15" hidden="false" customHeight="false" outlineLevel="0" collapsed="false">
      <c r="A90" s="21" t="s">
        <v>35</v>
      </c>
      <c r="B90" s="21" t="n">
        <v>7</v>
      </c>
      <c r="C90" s="21" t="str">
        <f aca="false">IF(ISBLANK(A90),"",A90&amp;"-"&amp;TEXT(B90,"000"))</f>
        <v>IMEAS-007</v>
      </c>
      <c r="D90" s="21" t="s">
        <v>322</v>
      </c>
      <c r="E90" s="22" t="s">
        <v>323</v>
      </c>
      <c r="F90" s="22" t="s">
        <v>99</v>
      </c>
      <c r="G90" s="21"/>
      <c r="H90" s="21"/>
      <c r="I90" s="21" t="n">
        <v>60</v>
      </c>
      <c r="J90" s="21" t="s">
        <v>315</v>
      </c>
      <c r="K90" s="23"/>
      <c r="L90" s="21" t="str">
        <f aca="false">IF(OR(ISBLANK(K90),AND(ISBLANK(H90),ISBLANK(I90))),"",IF(AND(IF(ISBLANK(H90),TRUE(),K90&gt;=H90),IF(ISBLANK(I90),TRUE(),K90&lt;=I90)),"Pass","Fail"))</f>
        <v/>
      </c>
      <c r="M90" s="23" t="s">
        <v>21</v>
      </c>
      <c r="N90" s="21" t="str">
        <f aca="false">IF(AND(M90&lt;&gt;"Not Run",M90&lt;&gt;""),M90,IF(L90&lt;&gt;"",L90,"Not Run"))</f>
        <v>Not Run</v>
      </c>
      <c r="O90" s="24"/>
    </row>
    <row r="91" customFormat="false" ht="22.35" hidden="false" customHeight="false" outlineLevel="0" collapsed="false">
      <c r="A91" s="21" t="s">
        <v>35</v>
      </c>
      <c r="B91" s="21" t="n">
        <v>8</v>
      </c>
      <c r="C91" s="21" t="str">
        <f aca="false">IF(ISBLANK(A91),"",A91&amp;"-"&amp;TEXT(B91,"000"))</f>
        <v>IMEAS-008</v>
      </c>
      <c r="D91" s="21" t="s">
        <v>324</v>
      </c>
      <c r="E91" s="22" t="s">
        <v>325</v>
      </c>
      <c r="F91" s="22" t="s">
        <v>200</v>
      </c>
      <c r="G91" s="21"/>
      <c r="H91" s="21"/>
      <c r="I91" s="21"/>
      <c r="J91" s="21"/>
      <c r="K91" s="23"/>
      <c r="L91" s="21" t="str">
        <f aca="false">IF(OR(ISBLANK(K91),AND(ISBLANK(H91),ISBLANK(I91))),"",IF(AND(IF(ISBLANK(H91),TRUE(),K91&gt;=H91),IF(ISBLANK(I91),TRUE(),K91&lt;=I91)),"Pass","Fail"))</f>
        <v/>
      </c>
      <c r="M91" s="23" t="s">
        <v>21</v>
      </c>
      <c r="N91" s="21" t="str">
        <f aca="false">IF(AND(M91&lt;&gt;"Not Run",M91&lt;&gt;""),M91,IF(L91&lt;&gt;"",L91,"Not Run"))</f>
        <v>Not Run</v>
      </c>
      <c r="O91" s="24"/>
    </row>
    <row r="92" customFormat="false" ht="22.35" hidden="false" customHeight="false" outlineLevel="0" collapsed="false">
      <c r="A92" s="21" t="s">
        <v>35</v>
      </c>
      <c r="B92" s="21" t="n">
        <v>9</v>
      </c>
      <c r="C92" s="21" t="str">
        <f aca="false">IF(ISBLANK(A92),"",A92&amp;"-"&amp;TEXT(B92,"000"))</f>
        <v>IMEAS-009</v>
      </c>
      <c r="D92" s="21" t="s">
        <v>326</v>
      </c>
      <c r="E92" s="22" t="s">
        <v>327</v>
      </c>
      <c r="F92" s="22" t="s">
        <v>328</v>
      </c>
      <c r="G92" s="21"/>
      <c r="H92" s="21"/>
      <c r="I92" s="21" t="n">
        <v>0.1</v>
      </c>
      <c r="J92" s="21" t="s">
        <v>124</v>
      </c>
      <c r="K92" s="23"/>
      <c r="L92" s="21" t="str">
        <f aca="false">IF(OR(ISBLANK(K92),AND(ISBLANK(H92),ISBLANK(I92))),"",IF(AND(IF(ISBLANK(H92),TRUE(),K92&gt;=H92),IF(ISBLANK(I92),TRUE(),K92&lt;=I92)),"Pass","Fail"))</f>
        <v/>
      </c>
      <c r="M92" s="23" t="s">
        <v>21</v>
      </c>
      <c r="N92" s="21" t="str">
        <f aca="false">IF(AND(M92&lt;&gt;"Not Run",M92&lt;&gt;""),M92,IF(L92&lt;&gt;"",L92,"Not Run"))</f>
        <v>Not Run</v>
      </c>
      <c r="O92" s="24"/>
    </row>
    <row r="93" customFormat="false" ht="15" hidden="false" customHeight="false" outlineLevel="0" collapsed="false">
      <c r="A93" s="21" t="s">
        <v>36</v>
      </c>
      <c r="B93" s="21" t="n">
        <v>1</v>
      </c>
      <c r="C93" s="21" t="str">
        <f aca="false">IF(ISBLANK(A93),"",A93&amp;"-"&amp;TEXT(B93,"000"))</f>
        <v>RF-001</v>
      </c>
      <c r="D93" s="21" t="s">
        <v>329</v>
      </c>
      <c r="E93" s="22" t="s">
        <v>330</v>
      </c>
      <c r="F93" s="22" t="s">
        <v>331</v>
      </c>
      <c r="G93" s="21"/>
      <c r="H93" s="21"/>
      <c r="I93" s="21"/>
      <c r="J93" s="21"/>
      <c r="K93" s="23"/>
      <c r="L93" s="21" t="str">
        <f aca="false">IF(OR(ISBLANK(K93),AND(ISBLANK(H93),ISBLANK(I93))),"",IF(AND(IF(ISBLANK(H93),TRUE(),K93&gt;=H93),IF(ISBLANK(I93),TRUE(),K93&lt;=I93)),"Pass","Fail"))</f>
        <v/>
      </c>
      <c r="M93" s="23" t="s">
        <v>21</v>
      </c>
      <c r="N93" s="21" t="str">
        <f aca="false">IF(AND(M93&lt;&gt;"Not Run",M93&lt;&gt;""),M93,IF(L93&lt;&gt;"",L93,"Not Run"))</f>
        <v>Not Run</v>
      </c>
      <c r="O93" s="24"/>
    </row>
    <row r="94" customFormat="false" ht="22.35" hidden="false" customHeight="false" outlineLevel="0" collapsed="false">
      <c r="A94" s="21" t="s">
        <v>36</v>
      </c>
      <c r="B94" s="21" t="n">
        <v>2</v>
      </c>
      <c r="C94" s="21" t="str">
        <f aca="false">IF(ISBLANK(A94),"",A94&amp;"-"&amp;TEXT(B94,"000"))</f>
        <v>RF-002</v>
      </c>
      <c r="D94" s="21" t="s">
        <v>332</v>
      </c>
      <c r="E94" s="22" t="s">
        <v>333</v>
      </c>
      <c r="F94" s="22" t="s">
        <v>99</v>
      </c>
      <c r="G94" s="21" t="n">
        <v>-55</v>
      </c>
      <c r="H94" s="21" t="n">
        <v>-70</v>
      </c>
      <c r="I94" s="21" t="n">
        <v>-35</v>
      </c>
      <c r="J94" s="21" t="s">
        <v>334</v>
      </c>
      <c r="K94" s="23"/>
      <c r="L94" s="21" t="str">
        <f aca="false">IF(OR(ISBLANK(K94),AND(ISBLANK(H94),ISBLANK(I94))),"",IF(AND(IF(ISBLANK(H94),TRUE(),K94&gt;=H94),IF(ISBLANK(I94),TRUE(),K94&lt;=I94)),"Pass","Fail"))</f>
        <v/>
      </c>
      <c r="M94" s="23" t="s">
        <v>21</v>
      </c>
      <c r="N94" s="21" t="str">
        <f aca="false">IF(AND(M94&lt;&gt;"Not Run",M94&lt;&gt;""),M94,IF(L94&lt;&gt;"",L94,"Not Run"))</f>
        <v>Not Run</v>
      </c>
      <c r="O94" s="24"/>
    </row>
    <row r="95" customFormat="false" ht="15" hidden="false" customHeight="false" outlineLevel="0" collapsed="false">
      <c r="A95" s="21" t="s">
        <v>36</v>
      </c>
      <c r="B95" s="21" t="n">
        <v>3</v>
      </c>
      <c r="C95" s="21" t="str">
        <f aca="false">IF(ISBLANK(A95),"",A95&amp;"-"&amp;TEXT(B95,"000"))</f>
        <v>RF-003</v>
      </c>
      <c r="D95" s="21" t="s">
        <v>335</v>
      </c>
      <c r="E95" s="22" t="s">
        <v>336</v>
      </c>
      <c r="F95" s="22" t="s">
        <v>337</v>
      </c>
      <c r="G95" s="21" t="n">
        <v>0</v>
      </c>
      <c r="H95" s="21" t="n">
        <v>-6</v>
      </c>
      <c r="I95" s="21" t="n">
        <v>6</v>
      </c>
      <c r="J95" s="21" t="s">
        <v>338</v>
      </c>
      <c r="K95" s="23"/>
      <c r="L95" s="21" t="str">
        <f aca="false">IF(OR(ISBLANK(K95),AND(ISBLANK(H95),ISBLANK(I95))),"",IF(AND(IF(ISBLANK(H95),TRUE(),K95&gt;=H95),IF(ISBLANK(I95),TRUE(),K95&lt;=I95)),"Pass","Fail"))</f>
        <v/>
      </c>
      <c r="M95" s="23" t="s">
        <v>21</v>
      </c>
      <c r="N95" s="21" t="str">
        <f aca="false">IF(AND(M95&lt;&gt;"Not Run",M95&lt;&gt;""),M95,IF(L95&lt;&gt;"",L95,"Not Run"))</f>
        <v>Not Run</v>
      </c>
      <c r="O95" s="24"/>
    </row>
    <row r="96" customFormat="false" ht="15" hidden="false" customHeight="false" outlineLevel="0" collapsed="false">
      <c r="A96" s="21" t="s">
        <v>36</v>
      </c>
      <c r="B96" s="21" t="n">
        <v>4</v>
      </c>
      <c r="C96" s="21" t="str">
        <f aca="false">IF(ISBLANK(A96),"",A96&amp;"-"&amp;TEXT(B96,"000"))</f>
        <v>RF-004</v>
      </c>
      <c r="D96" s="21" t="s">
        <v>339</v>
      </c>
      <c r="E96" s="22" t="s">
        <v>340</v>
      </c>
      <c r="F96" s="22" t="s">
        <v>341</v>
      </c>
      <c r="G96" s="21"/>
      <c r="H96" s="21"/>
      <c r="I96" s="21"/>
      <c r="J96" s="21"/>
      <c r="K96" s="23"/>
      <c r="L96" s="21" t="str">
        <f aca="false">IF(OR(ISBLANK(K96),AND(ISBLANK(H96),ISBLANK(I96))),"",IF(AND(IF(ISBLANK(H96),TRUE(),K96&gt;=H96),IF(ISBLANK(I96),TRUE(),K96&lt;=I96)),"Pass","Fail"))</f>
        <v/>
      </c>
      <c r="M96" s="23" t="s">
        <v>21</v>
      </c>
      <c r="N96" s="21" t="str">
        <f aca="false">IF(AND(M96&lt;&gt;"Not Run",M96&lt;&gt;""),M96,IF(L96&lt;&gt;"",L96,"Not Run"))</f>
        <v>Not Run</v>
      </c>
      <c r="O96" s="24"/>
    </row>
    <row r="97" customFormat="false" ht="15" hidden="false" customHeight="false" outlineLevel="0" collapsed="false">
      <c r="A97" s="21" t="s">
        <v>36</v>
      </c>
      <c r="B97" s="21" t="n">
        <v>5</v>
      </c>
      <c r="C97" s="21" t="str">
        <f aca="false">IF(ISBLANK(A97),"",A97&amp;"-"&amp;TEXT(B97,"000"))</f>
        <v>RF-005</v>
      </c>
      <c r="D97" s="21" t="s">
        <v>342</v>
      </c>
      <c r="E97" s="22" t="s">
        <v>343</v>
      </c>
      <c r="F97" s="22" t="s">
        <v>344</v>
      </c>
      <c r="G97" s="21" t="n">
        <v>3</v>
      </c>
      <c r="H97" s="21" t="n">
        <v>1</v>
      </c>
      <c r="I97" s="21" t="n">
        <v>5</v>
      </c>
      <c r="J97" s="21" t="s">
        <v>338</v>
      </c>
      <c r="K97" s="23"/>
      <c r="L97" s="21" t="str">
        <f aca="false">IF(OR(ISBLANK(K97),AND(ISBLANK(H97),ISBLANK(I97))),"",IF(AND(IF(ISBLANK(H97),TRUE(),K97&gt;=H97),IF(ISBLANK(I97),TRUE(),K97&lt;=I97)),"Pass","Fail"))</f>
        <v/>
      </c>
      <c r="M97" s="23" t="s">
        <v>21</v>
      </c>
      <c r="N97" s="21" t="str">
        <f aca="false">IF(AND(M97&lt;&gt;"Not Run",M97&lt;&gt;""),M97,IF(L97&lt;&gt;"",L97,"Not Run"))</f>
        <v>Not Run</v>
      </c>
      <c r="O97" s="24"/>
    </row>
    <row r="98" customFormat="false" ht="22.35" hidden="false" customHeight="false" outlineLevel="0" collapsed="false">
      <c r="A98" s="21" t="s">
        <v>36</v>
      </c>
      <c r="B98" s="21" t="n">
        <v>6</v>
      </c>
      <c r="C98" s="21" t="str">
        <f aca="false">IF(ISBLANK(A98),"",A98&amp;"-"&amp;TEXT(B98,"000"))</f>
        <v>RF-006</v>
      </c>
      <c r="D98" s="21" t="s">
        <v>345</v>
      </c>
      <c r="E98" s="22" t="s">
        <v>346</v>
      </c>
      <c r="F98" s="22" t="s">
        <v>172</v>
      </c>
      <c r="G98" s="21"/>
      <c r="H98" s="21"/>
      <c r="I98" s="21"/>
      <c r="J98" s="21"/>
      <c r="K98" s="23"/>
      <c r="L98" s="21" t="str">
        <f aca="false">IF(OR(ISBLANK(K98),AND(ISBLANK(H98),ISBLANK(I98))),"",IF(AND(IF(ISBLANK(H98),TRUE(),K98&gt;=H98),IF(ISBLANK(I98),TRUE(),K98&lt;=I98)),"Pass","Fail"))</f>
        <v/>
      </c>
      <c r="M98" s="23" t="s">
        <v>21</v>
      </c>
      <c r="N98" s="21" t="str">
        <f aca="false">IF(AND(M98&lt;&gt;"Not Run",M98&lt;&gt;""),M98,IF(L98&lt;&gt;"",L98,"Not Run"))</f>
        <v>Not Run</v>
      </c>
      <c r="O98" s="24"/>
    </row>
    <row r="99" customFormat="false" ht="22.35" hidden="false" customHeight="false" outlineLevel="0" collapsed="false">
      <c r="A99" s="21" t="s">
        <v>36</v>
      </c>
      <c r="B99" s="21" t="n">
        <v>7</v>
      </c>
      <c r="C99" s="21" t="str">
        <f aca="false">IF(ISBLANK(A99),"",A99&amp;"-"&amp;TEXT(B99,"000"))</f>
        <v>RF-007</v>
      </c>
      <c r="D99" s="21" t="s">
        <v>347</v>
      </c>
      <c r="E99" s="22" t="s">
        <v>348</v>
      </c>
      <c r="F99" s="22" t="s">
        <v>349</v>
      </c>
      <c r="G99" s="21"/>
      <c r="H99" s="21"/>
      <c r="I99" s="21"/>
      <c r="J99" s="21"/>
      <c r="K99" s="23"/>
      <c r="L99" s="21" t="str">
        <f aca="false">IF(OR(ISBLANK(K99),AND(ISBLANK(H99),ISBLANK(I99))),"",IF(AND(IF(ISBLANK(H99),TRUE(),K99&gt;=H99),IF(ISBLANK(I99),TRUE(),K99&lt;=I99)),"Pass","Fail"))</f>
        <v/>
      </c>
      <c r="M99" s="23" t="s">
        <v>21</v>
      </c>
      <c r="N99" s="21" t="str">
        <f aca="false">IF(AND(M99&lt;&gt;"Not Run",M99&lt;&gt;""),M99,IF(L99&lt;&gt;"",L99,"Not Run"))</f>
        <v>Not Run</v>
      </c>
      <c r="O99" s="24"/>
    </row>
    <row r="100" customFormat="false" ht="22.35" hidden="false" customHeight="false" outlineLevel="0" collapsed="false">
      <c r="A100" s="21" t="s">
        <v>37</v>
      </c>
      <c r="B100" s="21" t="n">
        <v>1</v>
      </c>
      <c r="C100" s="21" t="str">
        <f aca="false">IF(ISBLANK(A100),"",A100&amp;"-"&amp;TEXT(B100,"000"))</f>
        <v>SYS-001</v>
      </c>
      <c r="D100" s="21" t="s">
        <v>350</v>
      </c>
      <c r="E100" s="22" t="s">
        <v>351</v>
      </c>
      <c r="F100" s="22" t="s">
        <v>352</v>
      </c>
      <c r="G100" s="21"/>
      <c r="H100" s="21"/>
      <c r="I100" s="21"/>
      <c r="J100" s="21"/>
      <c r="K100" s="23"/>
      <c r="L100" s="21" t="str">
        <f aca="false">IF(OR(ISBLANK(K100),AND(ISBLANK(H100),ISBLANK(I100))),"",IF(AND(IF(ISBLANK(H100),TRUE(),K100&gt;=H100),IF(ISBLANK(I100),TRUE(),K100&lt;=I100)),"Pass","Fail"))</f>
        <v/>
      </c>
      <c r="M100" s="23" t="s">
        <v>21</v>
      </c>
      <c r="N100" s="21" t="str">
        <f aca="false">IF(AND(M100&lt;&gt;"Not Run",M100&lt;&gt;""),M100,IF(L100&lt;&gt;"",L100,"Not Run"))</f>
        <v>Not Run</v>
      </c>
      <c r="O100" s="24"/>
    </row>
    <row r="101" customFormat="false" ht="15" hidden="false" customHeight="false" outlineLevel="0" collapsed="false">
      <c r="A101" s="21" t="s">
        <v>37</v>
      </c>
      <c r="B101" s="21" t="n">
        <v>2</v>
      </c>
      <c r="C101" s="21" t="str">
        <f aca="false">IF(ISBLANK(A101),"",A101&amp;"-"&amp;TEXT(B101,"000"))</f>
        <v>SYS-002</v>
      </c>
      <c r="D101" s="21" t="s">
        <v>353</v>
      </c>
      <c r="E101" s="22" t="s">
        <v>354</v>
      </c>
      <c r="F101" s="22" t="s">
        <v>355</v>
      </c>
      <c r="G101" s="21"/>
      <c r="H101" s="21"/>
      <c r="I101" s="21"/>
      <c r="J101" s="21"/>
      <c r="K101" s="23"/>
      <c r="L101" s="21" t="str">
        <f aca="false">IF(OR(ISBLANK(K101),AND(ISBLANK(H101),ISBLANK(I101))),"",IF(AND(IF(ISBLANK(H101),TRUE(),K101&gt;=H101),IF(ISBLANK(I101),TRUE(),K101&lt;=I101)),"Pass","Fail"))</f>
        <v/>
      </c>
      <c r="M101" s="23" t="s">
        <v>21</v>
      </c>
      <c r="N101" s="21" t="str">
        <f aca="false">IF(AND(M101&lt;&gt;"Not Run",M101&lt;&gt;""),M101,IF(L101&lt;&gt;"",L101,"Not Run"))</f>
        <v>Not Run</v>
      </c>
      <c r="O101" s="24"/>
    </row>
    <row r="102" customFormat="false" ht="15" hidden="false" customHeight="false" outlineLevel="0" collapsed="false">
      <c r="A102" s="21" t="s">
        <v>37</v>
      </c>
      <c r="B102" s="21" t="n">
        <v>3</v>
      </c>
      <c r="C102" s="21" t="str">
        <f aca="false">IF(ISBLANK(A102),"",A102&amp;"-"&amp;TEXT(B102,"000"))</f>
        <v>SYS-003</v>
      </c>
      <c r="D102" s="21" t="s">
        <v>356</v>
      </c>
      <c r="E102" s="22" t="s">
        <v>357</v>
      </c>
      <c r="F102" s="22" t="s">
        <v>83</v>
      </c>
      <c r="G102" s="21"/>
      <c r="H102" s="21"/>
      <c r="I102" s="21"/>
      <c r="J102" s="21"/>
      <c r="K102" s="23"/>
      <c r="L102" s="21" t="str">
        <f aca="false">IF(OR(ISBLANK(K102),AND(ISBLANK(H102),ISBLANK(I102))),"",IF(AND(IF(ISBLANK(H102),TRUE(),K102&gt;=H102),IF(ISBLANK(I102),TRUE(),K102&lt;=I102)),"Pass","Fail"))</f>
        <v/>
      </c>
      <c r="M102" s="23" t="s">
        <v>21</v>
      </c>
      <c r="N102" s="21" t="str">
        <f aca="false">IF(AND(M102&lt;&gt;"Not Run",M102&lt;&gt;""),M102,IF(L102&lt;&gt;"",L102,"Not Run"))</f>
        <v>Not Run</v>
      </c>
      <c r="O102" s="24"/>
    </row>
    <row r="103" customFormat="false" ht="15" hidden="false" customHeight="false" outlineLevel="0" collapsed="false">
      <c r="A103" s="21" t="s">
        <v>37</v>
      </c>
      <c r="B103" s="21" t="n">
        <v>4</v>
      </c>
      <c r="C103" s="21" t="str">
        <f aca="false">IF(ISBLANK(A103),"",A103&amp;"-"&amp;TEXT(B103,"000"))</f>
        <v>SYS-004</v>
      </c>
      <c r="D103" s="21" t="s">
        <v>358</v>
      </c>
      <c r="E103" s="22" t="s">
        <v>359</v>
      </c>
      <c r="F103" s="22" t="s">
        <v>99</v>
      </c>
      <c r="G103" s="21"/>
      <c r="H103" s="21"/>
      <c r="I103" s="21" t="n">
        <v>60</v>
      </c>
      <c r="J103" s="21" t="s">
        <v>197</v>
      </c>
      <c r="K103" s="23"/>
      <c r="L103" s="21" t="str">
        <f aca="false">IF(OR(ISBLANK(K103),AND(ISBLANK(H103),ISBLANK(I103))),"",IF(AND(IF(ISBLANK(H103),TRUE(),K103&gt;=H103),IF(ISBLANK(I103),TRUE(),K103&lt;=I103)),"Pass","Fail"))</f>
        <v/>
      </c>
      <c r="M103" s="23" t="s">
        <v>21</v>
      </c>
      <c r="N103" s="21" t="str">
        <f aca="false">IF(AND(M103&lt;&gt;"Not Run",M103&lt;&gt;""),M103,IF(L103&lt;&gt;"",L103,"Not Run"))</f>
        <v>Not Run</v>
      </c>
      <c r="O103" s="24"/>
    </row>
    <row r="104" customFormat="false" ht="15" hidden="false" customHeight="false" outlineLevel="0" collapsed="false">
      <c r="A104" s="21" t="s">
        <v>37</v>
      </c>
      <c r="B104" s="21" t="n">
        <v>5</v>
      </c>
      <c r="C104" s="21" t="str">
        <f aca="false">IF(ISBLANK(A104),"",A104&amp;"-"&amp;TEXT(B104,"000"))</f>
        <v>SYS-005</v>
      </c>
      <c r="D104" s="21" t="s">
        <v>360</v>
      </c>
      <c r="E104" s="22" t="s">
        <v>361</v>
      </c>
      <c r="F104" s="22" t="s">
        <v>139</v>
      </c>
      <c r="G104" s="21"/>
      <c r="H104" s="21"/>
      <c r="I104" s="21"/>
      <c r="J104" s="21"/>
      <c r="K104" s="23"/>
      <c r="L104" s="21" t="str">
        <f aca="false">IF(OR(ISBLANK(K104),AND(ISBLANK(H104),ISBLANK(I104))),"",IF(AND(IF(ISBLANK(H104),TRUE(),K104&gt;=H104),IF(ISBLANK(I104),TRUE(),K104&lt;=I104)),"Pass","Fail"))</f>
        <v/>
      </c>
      <c r="M104" s="23" t="s">
        <v>21</v>
      </c>
      <c r="N104" s="21" t="str">
        <f aca="false">IF(AND(M104&lt;&gt;"Not Run",M104&lt;&gt;""),M104,IF(L104&lt;&gt;"",L104,"Not Run"))</f>
        <v>Not Run</v>
      </c>
      <c r="O104" s="24"/>
    </row>
    <row r="105" customFormat="false" ht="15" hidden="false" customHeight="false" outlineLevel="0" collapsed="false">
      <c r="A105" s="21" t="s">
        <v>37</v>
      </c>
      <c r="B105" s="21" t="n">
        <v>6</v>
      </c>
      <c r="C105" s="21" t="str">
        <f aca="false">IF(ISBLANK(A105),"",A105&amp;"-"&amp;TEXT(B105,"000"))</f>
        <v>SYS-006</v>
      </c>
      <c r="D105" s="21" t="s">
        <v>362</v>
      </c>
      <c r="E105" s="22" t="s">
        <v>363</v>
      </c>
      <c r="F105" s="22" t="s">
        <v>364</v>
      </c>
      <c r="G105" s="21"/>
      <c r="H105" s="21"/>
      <c r="I105" s="21"/>
      <c r="J105" s="21"/>
      <c r="K105" s="23"/>
      <c r="L105" s="21" t="str">
        <f aca="false">IF(OR(ISBLANK(K105),AND(ISBLANK(H105),ISBLANK(I105))),"",IF(AND(IF(ISBLANK(H105),TRUE(),K105&gt;=H105),IF(ISBLANK(I105),TRUE(),K105&lt;=I105)),"Pass","Fail"))</f>
        <v/>
      </c>
      <c r="M105" s="23" t="s">
        <v>21</v>
      </c>
      <c r="N105" s="21" t="str">
        <f aca="false">IF(AND(M105&lt;&gt;"Not Run",M105&lt;&gt;""),M105,IF(L105&lt;&gt;"",L105,"Not Run"))</f>
        <v>Not Run</v>
      </c>
      <c r="O105" s="24"/>
    </row>
  </sheetData>
  <conditionalFormatting sqref="L5:N20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M5:M202" type="list">
      <formula1>"Not Run,Pass,Fail,In Progress,Blocked"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false" outlineLevel="0" max="8" min="8" style="0" width="16"/>
  </cols>
  <sheetData>
    <row r="2" customFormat="false" ht="17.35" hidden="false" customHeight="false" outlineLevel="0" collapsed="false">
      <c r="B2" s="14" t="s">
        <v>365</v>
      </c>
    </row>
    <row r="4" customFormat="false" ht="15" hidden="false" customHeight="false" outlineLevel="0" collapsed="false">
      <c r="B4" s="25" t="s">
        <v>366</v>
      </c>
      <c r="C4" s="25" t="s">
        <v>59</v>
      </c>
      <c r="D4" s="25" t="s">
        <v>367</v>
      </c>
      <c r="E4" s="25" t="s">
        <v>368</v>
      </c>
      <c r="F4" s="25" t="s">
        <v>369</v>
      </c>
      <c r="G4" s="25" t="s">
        <v>370</v>
      </c>
      <c r="H4" s="25" t="s">
        <v>23</v>
      </c>
    </row>
    <row r="5" customFormat="false" ht="22.35" hidden="false" customHeight="false" outlineLevel="0" collapsed="false">
      <c r="B5" s="26" t="n">
        <v>1</v>
      </c>
      <c r="C5" s="26" t="s">
        <v>371</v>
      </c>
      <c r="D5" s="26" t="s">
        <v>372</v>
      </c>
      <c r="E5" s="26" t="s">
        <v>373</v>
      </c>
      <c r="F5" s="26" t="s">
        <v>374</v>
      </c>
      <c r="G5" s="26" t="s">
        <v>375</v>
      </c>
      <c r="H5" s="26" t="s">
        <v>376</v>
      </c>
    </row>
    <row r="6" customFormat="false" ht="15" hidden="false" customHeight="false" outlineLevel="0" collapsed="false">
      <c r="B6" s="27"/>
      <c r="C6" s="27"/>
      <c r="D6" s="27"/>
      <c r="E6" s="27"/>
      <c r="F6" s="27"/>
      <c r="G6" s="27"/>
      <c r="H6" s="27"/>
    </row>
    <row r="7" customFormat="false" ht="15" hidden="false" customHeight="false" outlineLevel="0" collapsed="false">
      <c r="B7" s="27"/>
      <c r="C7" s="27"/>
      <c r="D7" s="27"/>
      <c r="E7" s="27"/>
      <c r="F7" s="27"/>
      <c r="G7" s="27"/>
      <c r="H7" s="27"/>
    </row>
    <row r="8" customFormat="false" ht="15" hidden="false" customHeight="false" outlineLevel="0" collapsed="false">
      <c r="B8" s="27"/>
      <c r="C8" s="27"/>
      <c r="D8" s="27"/>
      <c r="E8" s="27"/>
      <c r="F8" s="27"/>
      <c r="G8" s="27"/>
      <c r="H8" s="27"/>
    </row>
    <row r="9" customFormat="false" ht="15" hidden="false" customHeight="false" outlineLevel="0" collapsed="false">
      <c r="B9" s="27"/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B11" s="27"/>
      <c r="C11" s="27"/>
      <c r="D11" s="27"/>
      <c r="E11" s="27"/>
      <c r="F11" s="27"/>
      <c r="G11" s="27"/>
      <c r="H11" s="27"/>
    </row>
    <row r="12" customFormat="false" ht="15" hidden="false" customHeight="false" outlineLevel="0" collapsed="false">
      <c r="B12" s="27"/>
      <c r="C12" s="27"/>
      <c r="D12" s="27"/>
      <c r="E12" s="27"/>
      <c r="F12" s="27"/>
      <c r="G12" s="27"/>
      <c r="H12" s="27"/>
    </row>
    <row r="13" customFormat="false" ht="15" hidden="false" customHeight="false" outlineLevel="0" collapsed="false">
      <c r="B13" s="27"/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  <c r="H14" s="27"/>
    </row>
    <row r="15" customFormat="false" ht="15" hidden="false" customHeight="false" outlineLevel="0" collapsed="false">
      <c r="B15" s="27"/>
      <c r="C15" s="27"/>
      <c r="D15" s="27"/>
      <c r="E15" s="27"/>
      <c r="F15" s="27"/>
      <c r="G15" s="27"/>
      <c r="H1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42"/>
  </cols>
  <sheetData>
    <row r="2" customFormat="false" ht="16.15" hidden="false" customHeight="false" outlineLevel="0" collapsed="false">
      <c r="B2" s="28" t="s">
        <v>377</v>
      </c>
    </row>
    <row r="4" customFormat="false" ht="15" hidden="false" customHeight="false" outlineLevel="0" collapsed="false">
      <c r="B4" s="25" t="s">
        <v>378</v>
      </c>
      <c r="C4" s="25" t="s">
        <v>379</v>
      </c>
      <c r="D4" s="25" t="s">
        <v>380</v>
      </c>
      <c r="E4" s="25" t="s">
        <v>71</v>
      </c>
    </row>
    <row r="5" customFormat="false" ht="15" hidden="false" customHeight="false" outlineLevel="0" collapsed="false">
      <c r="B5" s="22" t="s">
        <v>381</v>
      </c>
      <c r="C5" s="22" t="s">
        <v>382</v>
      </c>
      <c r="D5" s="22" t="s">
        <v>383</v>
      </c>
      <c r="E5" s="22" t="s">
        <v>384</v>
      </c>
    </row>
    <row r="6" customFormat="false" ht="15" hidden="false" customHeight="false" outlineLevel="0" collapsed="false">
      <c r="B6" s="22" t="s">
        <v>385</v>
      </c>
      <c r="C6" s="22" t="s">
        <v>386</v>
      </c>
      <c r="D6" s="22" t="s">
        <v>383</v>
      </c>
      <c r="E6" s="22" t="s">
        <v>387</v>
      </c>
    </row>
    <row r="7" customFormat="false" ht="15" hidden="false" customHeight="false" outlineLevel="0" collapsed="false">
      <c r="B7" s="22" t="s">
        <v>388</v>
      </c>
      <c r="C7" s="22" t="s">
        <v>389</v>
      </c>
      <c r="D7" s="22" t="s">
        <v>383</v>
      </c>
      <c r="E7" s="22" t="s">
        <v>390</v>
      </c>
    </row>
    <row r="8" customFormat="false" ht="15" hidden="false" customHeight="false" outlineLevel="0" collapsed="false">
      <c r="B8" s="22" t="s">
        <v>391</v>
      </c>
      <c r="C8" s="22" t="s">
        <v>392</v>
      </c>
      <c r="D8" s="22" t="s">
        <v>383</v>
      </c>
      <c r="E8" s="22" t="s">
        <v>393</v>
      </c>
    </row>
    <row r="9" customFormat="false" ht="22.35" hidden="false" customHeight="false" outlineLevel="0" collapsed="false">
      <c r="B9" s="22" t="s">
        <v>394</v>
      </c>
      <c r="C9" s="22" t="s">
        <v>395</v>
      </c>
      <c r="D9" s="22" t="s">
        <v>383</v>
      </c>
      <c r="E9" s="22" t="s">
        <v>396</v>
      </c>
    </row>
    <row r="10" customFormat="false" ht="15" hidden="false" customHeight="false" outlineLevel="0" collapsed="false">
      <c r="B10" s="22" t="s">
        <v>397</v>
      </c>
      <c r="C10" s="22" t="s">
        <v>398</v>
      </c>
      <c r="D10" s="22" t="s">
        <v>383</v>
      </c>
      <c r="E10" s="22" t="s">
        <v>399</v>
      </c>
    </row>
    <row r="11" customFormat="false" ht="15" hidden="false" customHeight="false" outlineLevel="0" collapsed="false">
      <c r="B11" s="22" t="s">
        <v>400</v>
      </c>
      <c r="C11" s="22" t="s">
        <v>401</v>
      </c>
      <c r="D11" s="22" t="s">
        <v>383</v>
      </c>
      <c r="E11" s="22" t="s">
        <v>402</v>
      </c>
    </row>
    <row r="12" customFormat="false" ht="22.35" hidden="false" customHeight="false" outlineLevel="0" collapsed="false">
      <c r="B12" s="22" t="s">
        <v>403</v>
      </c>
      <c r="C12" s="22" t="s">
        <v>404</v>
      </c>
      <c r="D12" s="22" t="s">
        <v>383</v>
      </c>
      <c r="E12" s="22" t="s">
        <v>405</v>
      </c>
    </row>
    <row r="13" customFormat="false" ht="15" hidden="false" customHeight="false" outlineLevel="0" collapsed="false">
      <c r="B13" s="22" t="s">
        <v>406</v>
      </c>
      <c r="C13" s="22" t="s">
        <v>407</v>
      </c>
      <c r="D13" s="22" t="s">
        <v>383</v>
      </c>
      <c r="E13" s="22" t="s">
        <v>408</v>
      </c>
    </row>
    <row r="14" customFormat="false" ht="15" hidden="false" customHeight="false" outlineLevel="0" collapsed="false">
      <c r="B14" s="22" t="s">
        <v>409</v>
      </c>
      <c r="C14" s="22" t="s">
        <v>410</v>
      </c>
      <c r="D14" s="22" t="s">
        <v>383</v>
      </c>
      <c r="E14" s="22" t="s">
        <v>411</v>
      </c>
    </row>
    <row r="15" customFormat="false" ht="15" hidden="false" customHeight="false" outlineLevel="0" collapsed="false">
      <c r="B15" s="22" t="s">
        <v>412</v>
      </c>
      <c r="C15" s="22" t="s">
        <v>413</v>
      </c>
      <c r="D15" s="22" t="s">
        <v>383</v>
      </c>
      <c r="E15" s="22" t="s">
        <v>414</v>
      </c>
    </row>
    <row r="16" customFormat="false" ht="15" hidden="false" customHeight="false" outlineLevel="0" collapsed="false">
      <c r="B16" s="22" t="s">
        <v>415</v>
      </c>
      <c r="C16" s="22" t="s">
        <v>416</v>
      </c>
      <c r="D16" s="22" t="s">
        <v>383</v>
      </c>
      <c r="E16" s="22" t="s">
        <v>417</v>
      </c>
    </row>
    <row r="17" customFormat="false" ht="22.35" hidden="false" customHeight="false" outlineLevel="0" collapsed="false">
      <c r="B17" s="22" t="s">
        <v>418</v>
      </c>
      <c r="C17" s="22" t="s">
        <v>419</v>
      </c>
      <c r="D17" s="22" t="s">
        <v>383</v>
      </c>
      <c r="E17" s="22" t="s">
        <v>420</v>
      </c>
    </row>
    <row r="18" customFormat="false" ht="22.35" hidden="false" customHeight="false" outlineLevel="0" collapsed="false">
      <c r="B18" s="22" t="s">
        <v>421</v>
      </c>
      <c r="C18" s="22" t="s">
        <v>422</v>
      </c>
      <c r="D18" s="22" t="s">
        <v>383</v>
      </c>
      <c r="E18" s="22" t="s">
        <v>423</v>
      </c>
    </row>
    <row r="19" customFormat="false" ht="15" hidden="false" customHeight="false" outlineLevel="0" collapsed="false">
      <c r="B19" s="22" t="s">
        <v>424</v>
      </c>
      <c r="C19" s="22" t="s">
        <v>425</v>
      </c>
      <c r="D19" s="22" t="s">
        <v>383</v>
      </c>
      <c r="E19" s="22" t="s">
        <v>426</v>
      </c>
    </row>
    <row r="20" customFormat="false" ht="15" hidden="false" customHeight="false" outlineLevel="0" collapsed="false">
      <c r="B20" s="22" t="s">
        <v>427</v>
      </c>
      <c r="C20" s="22" t="s">
        <v>428</v>
      </c>
      <c r="D20" s="22" t="s">
        <v>383</v>
      </c>
      <c r="E20" s="22" t="s">
        <v>429</v>
      </c>
    </row>
    <row r="23" customFormat="false" ht="15" hidden="false" customHeight="false" outlineLevel="0" collapsed="false">
      <c r="B23" s="17" t="s">
        <v>430</v>
      </c>
    </row>
    <row r="25" customFormat="false" ht="15" hidden="false" customHeight="false" outlineLevel="0" collapsed="false">
      <c r="B25" s="25" t="s">
        <v>431</v>
      </c>
      <c r="C25" s="25" t="s">
        <v>432</v>
      </c>
      <c r="D25" s="25" t="s">
        <v>433</v>
      </c>
    </row>
    <row r="26" customFormat="false" ht="15" hidden="false" customHeight="false" outlineLevel="0" collapsed="false">
      <c r="B26" s="29" t="n">
        <v>1</v>
      </c>
      <c r="C26" s="29" t="s">
        <v>434</v>
      </c>
      <c r="D26" s="29" t="s">
        <v>435</v>
      </c>
    </row>
    <row r="27" customFormat="false" ht="15" hidden="false" customHeight="false" outlineLevel="0" collapsed="false">
      <c r="B27" s="29" t="n">
        <v>2</v>
      </c>
      <c r="C27" s="29" t="s">
        <v>381</v>
      </c>
      <c r="D27" s="29" t="s">
        <v>381</v>
      </c>
    </row>
    <row r="28" customFormat="false" ht="15" hidden="false" customHeight="false" outlineLevel="0" collapsed="false">
      <c r="B28" s="29" t="n">
        <v>3</v>
      </c>
      <c r="C28" s="29" t="s">
        <v>436</v>
      </c>
      <c r="D28" s="29" t="s">
        <v>437</v>
      </c>
    </row>
    <row r="29" customFormat="false" ht="15" hidden="false" customHeight="false" outlineLevel="0" collapsed="false">
      <c r="B29" s="29" t="n">
        <v>4</v>
      </c>
      <c r="C29" s="29" t="s">
        <v>438</v>
      </c>
      <c r="D29" s="29" t="s">
        <v>439</v>
      </c>
    </row>
    <row r="30" customFormat="false" ht="15" hidden="false" customHeight="false" outlineLevel="0" collapsed="false">
      <c r="B30" s="29" t="n">
        <v>5</v>
      </c>
      <c r="C30" s="29" t="s">
        <v>440</v>
      </c>
      <c r="D30" s="29" t="s">
        <v>441</v>
      </c>
    </row>
    <row r="31" customFormat="false" ht="15" hidden="false" customHeight="false" outlineLevel="0" collapsed="false">
      <c r="B31" s="29" t="n">
        <v>6</v>
      </c>
      <c r="C31" s="29" t="s">
        <v>442</v>
      </c>
      <c r="D31" s="29" t="s">
        <v>443</v>
      </c>
    </row>
    <row r="32" customFormat="false" ht="15" hidden="false" customHeight="false" outlineLevel="0" collapsed="false">
      <c r="B32" s="29" t="n">
        <v>7</v>
      </c>
      <c r="C32" s="29" t="s">
        <v>444</v>
      </c>
      <c r="D32" s="29" t="s">
        <v>445</v>
      </c>
    </row>
    <row r="33" customFormat="false" ht="15" hidden="false" customHeight="false" outlineLevel="0" collapsed="false">
      <c r="B33" s="29" t="n">
        <v>8</v>
      </c>
      <c r="C33" s="29" t="s">
        <v>381</v>
      </c>
      <c r="D33" s="29" t="s">
        <v>381</v>
      </c>
    </row>
    <row r="34" customFormat="false" ht="15" hidden="false" customHeight="false" outlineLevel="0" collapsed="false">
      <c r="B34" s="29" t="n">
        <v>9</v>
      </c>
      <c r="C34" s="29" t="s">
        <v>446</v>
      </c>
      <c r="D34" s="29" t="s">
        <v>447</v>
      </c>
    </row>
    <row r="35" customFormat="false" ht="15" hidden="false" customHeight="false" outlineLevel="0" collapsed="false">
      <c r="B35" s="29" t="n">
        <v>10</v>
      </c>
      <c r="C35" s="29" t="s">
        <v>448</v>
      </c>
      <c r="D35" s="29" t="s">
        <v>449</v>
      </c>
    </row>
    <row r="36" customFormat="false" ht="15" hidden="false" customHeight="false" outlineLevel="0" collapsed="false">
      <c r="B36" s="29" t="n">
        <v>11</v>
      </c>
      <c r="C36" s="29" t="s">
        <v>450</v>
      </c>
      <c r="D36" s="29" t="s">
        <v>451</v>
      </c>
    </row>
    <row r="37" customFormat="false" ht="15" hidden="false" customHeight="false" outlineLevel="0" collapsed="false">
      <c r="B37" s="29" t="n">
        <v>12</v>
      </c>
      <c r="C37" s="29" t="s">
        <v>381</v>
      </c>
      <c r="D37" s="29" t="s">
        <v>452</v>
      </c>
    </row>
    <row r="38" customFormat="false" ht="15" hidden="false" customHeight="false" outlineLevel="0" collapsed="false">
      <c r="B38" s="29" t="n">
        <v>13</v>
      </c>
      <c r="C38" s="29" t="s">
        <v>453</v>
      </c>
      <c r="D38" s="29" t="s">
        <v>381</v>
      </c>
    </row>
    <row r="39" customFormat="false" ht="15" hidden="false" customHeight="false" outlineLevel="0" collapsed="false">
      <c r="B39" s="29" t="n">
        <v>14</v>
      </c>
      <c r="C39" s="29" t="s">
        <v>454</v>
      </c>
      <c r="D39" s="29" t="s">
        <v>455</v>
      </c>
    </row>
    <row r="40" customFormat="false" ht="15" hidden="false" customHeight="false" outlineLevel="0" collapsed="false">
      <c r="B40" s="29" t="n">
        <v>15</v>
      </c>
      <c r="C40" s="29" t="s">
        <v>456</v>
      </c>
      <c r="D40" s="29" t="s">
        <v>457</v>
      </c>
    </row>
    <row r="41" customFormat="false" ht="15" hidden="false" customHeight="false" outlineLevel="0" collapsed="false">
      <c r="B41" s="29" t="n">
        <v>16</v>
      </c>
      <c r="C41" s="29" t="s">
        <v>381</v>
      </c>
      <c r="D41" s="29" t="s">
        <v>458</v>
      </c>
    </row>
    <row r="42" customFormat="false" ht="15" hidden="false" customHeight="false" outlineLevel="0" collapsed="false">
      <c r="B42" s="29" t="n">
        <v>17</v>
      </c>
      <c r="C42" s="29" t="s">
        <v>459</v>
      </c>
      <c r="D42" s="29" t="s">
        <v>460</v>
      </c>
    </row>
    <row r="43" customFormat="false" ht="15" hidden="false" customHeight="false" outlineLevel="0" collapsed="false">
      <c r="B43" s="29" t="n">
        <v>18</v>
      </c>
      <c r="C43" s="29" t="s">
        <v>461</v>
      </c>
      <c r="D43" s="29" t="s">
        <v>462</v>
      </c>
    </row>
    <row r="44" customFormat="false" ht="15" hidden="false" customHeight="false" outlineLevel="0" collapsed="false">
      <c r="B44" s="29" t="n">
        <v>19</v>
      </c>
      <c r="C44" s="29" t="s">
        <v>463</v>
      </c>
      <c r="D44" s="29" t="s">
        <v>381</v>
      </c>
    </row>
    <row r="46" customFormat="false" ht="22.35" hidden="false" customHeight="true" outlineLevel="0" collapsed="false">
      <c r="B46" s="30" t="s">
        <v>464</v>
      </c>
      <c r="C46" s="30"/>
      <c r="D46" s="30"/>
      <c r="E46" s="30"/>
    </row>
  </sheetData>
  <mergeCells count="1"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2026-07-22T14:08:09Z</dcterms:created>
  <dc:creator>openpyxl</dc:creator>
  <dc:description/>
  <dc:language>en-US</dc:language>
  <cp:lastModifiedBy/>
  <dcterms:modified xsi:type="dcterms:W3CDTF">2026-07-22T14:08:10Z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